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PT\Documents\VSC\GPA\"/>
    </mc:Choice>
  </mc:AlternateContent>
  <xr:revisionPtr revIDLastSave="0" documentId="8_{91DDBD05-5C65-4DA0-BE10-34F87F650F73}" xr6:coauthVersionLast="34" xr6:coauthVersionMax="34" xr10:uidLastSave="{00000000-0000-0000-0000-000000000000}"/>
  <bookViews>
    <workbookView xWindow="32772" yWindow="32772" windowWidth="28752" windowHeight="12348" activeTab="2"/>
  </bookViews>
  <sheets>
    <sheet name="Ke hoach" sheetId="1" r:id="rId1"/>
    <sheet name="CTDT" sheetId="2" r:id="rId2"/>
    <sheet name="KQ-hoctap" sheetId="3" r:id="rId3"/>
    <sheet name="Sheet1" sheetId="4" r:id="rId4"/>
  </sheets>
  <definedNames>
    <definedName name="_xlnm._FilterDatabase" localSheetId="3" hidden="1">Sheet1!$A$2:$Q$30</definedName>
  </definedNames>
  <calcPr calcId="191029"/>
</workbook>
</file>

<file path=xl/calcChain.xml><?xml version="1.0" encoding="utf-8"?>
<calcChain xmlns="http://schemas.openxmlformats.org/spreadsheetml/2006/main">
  <c r="P36" i="4" l="1"/>
  <c r="P35" i="4"/>
  <c r="P34" i="4"/>
  <c r="P33" i="4"/>
  <c r="P32" i="4"/>
  <c r="P29" i="4"/>
  <c r="P27" i="4"/>
  <c r="P26" i="4"/>
  <c r="P23" i="4"/>
  <c r="P22" i="4"/>
  <c r="P19" i="4"/>
  <c r="P17" i="4"/>
  <c r="P13" i="4"/>
  <c r="P12" i="4"/>
  <c r="P6" i="4"/>
  <c r="P4" i="4"/>
  <c r="P3" i="4"/>
  <c r="J33" i="4"/>
  <c r="J34" i="4"/>
  <c r="J35" i="4"/>
  <c r="J36" i="4"/>
  <c r="J32" i="4"/>
  <c r="I33" i="4"/>
  <c r="I34" i="4"/>
  <c r="I35" i="4"/>
  <c r="I36" i="4"/>
  <c r="I32" i="4"/>
  <c r="I29" i="4"/>
  <c r="I27" i="4"/>
  <c r="I26" i="4"/>
  <c r="I25" i="4"/>
  <c r="K25" i="4"/>
  <c r="I23" i="4"/>
  <c r="I22" i="4"/>
  <c r="I19" i="4"/>
  <c r="I17" i="4"/>
  <c r="K16" i="4"/>
  <c r="I13" i="4"/>
  <c r="I12" i="4"/>
  <c r="I8" i="4"/>
  <c r="K8" i="4"/>
  <c r="I6" i="4"/>
  <c r="I4" i="4"/>
  <c r="I3" i="4"/>
  <c r="J29" i="4"/>
  <c r="J27" i="4"/>
  <c r="J26" i="4"/>
  <c r="J23" i="4"/>
  <c r="J22" i="4"/>
  <c r="J19" i="4"/>
  <c r="J17" i="4"/>
  <c r="J13" i="4"/>
  <c r="J12" i="4"/>
  <c r="J6" i="4"/>
  <c r="K6" i="4"/>
  <c r="J4" i="4"/>
  <c r="K4" i="4"/>
  <c r="J3" i="4"/>
  <c r="K3" i="4"/>
  <c r="H36" i="3"/>
  <c r="I36" i="3"/>
  <c r="N36" i="3"/>
  <c r="H37" i="3"/>
  <c r="M37" i="3"/>
  <c r="H38" i="3"/>
  <c r="I38" i="3"/>
  <c r="N38" i="3"/>
  <c r="H5" i="3"/>
  <c r="I5" i="3"/>
  <c r="N5" i="3"/>
  <c r="H6" i="3"/>
  <c r="M6" i="3"/>
  <c r="H7" i="3"/>
  <c r="I7" i="3"/>
  <c r="N7" i="3"/>
  <c r="H8" i="3"/>
  <c r="I8" i="3"/>
  <c r="N8" i="3"/>
  <c r="H9" i="3"/>
  <c r="I9" i="3"/>
  <c r="N9" i="3"/>
  <c r="H10" i="3"/>
  <c r="I10" i="3"/>
  <c r="H11" i="3"/>
  <c r="I11" i="3"/>
  <c r="N11" i="3"/>
  <c r="H16" i="3"/>
  <c r="I16" i="3"/>
  <c r="N16" i="3"/>
  <c r="H17" i="3"/>
  <c r="I17" i="3"/>
  <c r="N17" i="3"/>
  <c r="H18" i="3"/>
  <c r="I18" i="3"/>
  <c r="N18" i="3"/>
  <c r="H19" i="3"/>
  <c r="M19" i="3"/>
  <c r="H20" i="3"/>
  <c r="I20" i="3"/>
  <c r="N20" i="3"/>
  <c r="H21" i="3"/>
  <c r="I21" i="3"/>
  <c r="H22" i="3"/>
  <c r="I22" i="3"/>
  <c r="N22" i="3"/>
  <c r="H23" i="3"/>
  <c r="I23" i="3"/>
  <c r="N24" i="3"/>
  <c r="H28" i="3"/>
  <c r="I28" i="3"/>
  <c r="N28" i="3"/>
  <c r="H29" i="3"/>
  <c r="I29" i="3"/>
  <c r="N29" i="3"/>
  <c r="H30" i="3"/>
  <c r="I30" i="3"/>
  <c r="N32" i="3"/>
  <c r="N34" i="3"/>
  <c r="H35" i="3"/>
  <c r="I35" i="3"/>
  <c r="H39" i="3"/>
  <c r="I39" i="3"/>
  <c r="N39" i="3"/>
  <c r="H4" i="3"/>
  <c r="I4" i="3"/>
  <c r="N4" i="3"/>
  <c r="M29" i="3"/>
  <c r="M30" i="3"/>
  <c r="M5" i="3"/>
  <c r="M7" i="3"/>
  <c r="M9" i="3"/>
  <c r="M10" i="3"/>
  <c r="M11" i="3"/>
  <c r="M12" i="3"/>
  <c r="N12" i="3"/>
  <c r="M13" i="3"/>
  <c r="N13" i="3"/>
  <c r="M14" i="3"/>
  <c r="N14" i="3"/>
  <c r="M15" i="3"/>
  <c r="N15" i="3"/>
  <c r="M16" i="3"/>
  <c r="M18" i="3"/>
  <c r="M20" i="3"/>
  <c r="M21" i="3"/>
  <c r="M22" i="3"/>
  <c r="M23" i="3"/>
  <c r="M24" i="3"/>
  <c r="M25" i="3"/>
  <c r="N25" i="3"/>
  <c r="M26" i="3"/>
  <c r="N26" i="3"/>
  <c r="M27" i="3"/>
  <c r="N27" i="3"/>
  <c r="M28" i="3"/>
  <c r="M31" i="3"/>
  <c r="N31" i="3"/>
  <c r="M32" i="3"/>
  <c r="M33" i="3"/>
  <c r="N33" i="3"/>
  <c r="M34" i="3"/>
  <c r="M35" i="3"/>
  <c r="M39" i="3"/>
  <c r="N10" i="3"/>
  <c r="N21" i="3"/>
  <c r="N23" i="3"/>
  <c r="N30" i="3"/>
  <c r="N35" i="3"/>
  <c r="D76" i="2"/>
  <c r="M4" i="3"/>
  <c r="M36" i="3"/>
  <c r="I37" i="3"/>
  <c r="N37" i="3"/>
  <c r="F12" i="3"/>
  <c r="F24" i="3"/>
  <c r="M17" i="3"/>
  <c r="M8" i="3"/>
  <c r="M1" i="3"/>
  <c r="I19" i="3"/>
  <c r="N19" i="3"/>
  <c r="I6" i="3"/>
  <c r="N6" i="3"/>
  <c r="M38" i="3"/>
  <c r="H1" i="3"/>
  <c r="J1" i="3"/>
  <c r="K23" i="4"/>
  <c r="K32" i="4"/>
  <c r="K33" i="4"/>
  <c r="K29" i="4"/>
  <c r="K17" i="4"/>
  <c r="K35" i="4"/>
  <c r="L11" i="4"/>
  <c r="K34" i="4"/>
  <c r="K36" i="4"/>
  <c r="K19" i="4"/>
  <c r="K26" i="4"/>
  <c r="K12" i="4"/>
  <c r="K13" i="4"/>
  <c r="K22" i="4"/>
  <c r="L24" i="4"/>
  <c r="K27" i="4"/>
  <c r="Q3" i="4"/>
  <c r="Q4" i="4"/>
  <c r="Q17" i="4"/>
  <c r="Q26" i="4"/>
  <c r="Q13" i="4"/>
  <c r="Q6" i="4"/>
  <c r="Q19" i="4"/>
  <c r="Q27" i="4"/>
  <c r="Q23" i="4"/>
  <c r="Q12" i="4"/>
  <c r="Q22" i="4"/>
  <c r="Q29" i="4"/>
  <c r="K2" i="4"/>
  <c r="L30" i="4"/>
  <c r="L20" i="4"/>
  <c r="R2" i="4"/>
  <c r="R11" i="4"/>
</calcChain>
</file>

<file path=xl/sharedStrings.xml><?xml version="1.0" encoding="utf-8"?>
<sst xmlns="http://schemas.openxmlformats.org/spreadsheetml/2006/main" count="1023" uniqueCount="476">
  <si>
    <t>Calculus 1</t>
  </si>
  <si>
    <t>Giải tích 2</t>
  </si>
  <si>
    <t>Calculus 2</t>
  </si>
  <si>
    <t>Đại số tuyến tính</t>
  </si>
  <si>
    <t>Linear Algebra</t>
  </si>
  <si>
    <t>Xác suất và thống kê</t>
  </si>
  <si>
    <t>Probability and Statistics</t>
  </si>
  <si>
    <t>Hóa đại cương</t>
  </si>
  <si>
    <t>General Chemistry</t>
  </si>
  <si>
    <t>Vật lý 1</t>
  </si>
  <si>
    <t>General Physics 1</t>
  </si>
  <si>
    <t>Thí nghiệm vật lý</t>
  </si>
  <si>
    <t>General Physics Labs</t>
  </si>
  <si>
    <t>Cấu trúc rời rạc cho khoa học máy tính</t>
  </si>
  <si>
    <t>Discrete Structures for Computing</t>
  </si>
  <si>
    <t>Mô hình hóa toán học</t>
  </si>
  <si>
    <t>Mathematical Modeling</t>
  </si>
  <si>
    <t>Pháp luật Việt Nam đại cương</t>
  </si>
  <si>
    <t>Introduction to Vietnamese Law</t>
  </si>
  <si>
    <t>Triết học Mác - Lênin</t>
  </si>
  <si>
    <t>Marxist - Leninist Philosophy</t>
  </si>
  <si>
    <t>Kinh tế chính trị Mác - Lênin</t>
  </si>
  <si>
    <t>Marxist - Leninist Political Economy</t>
  </si>
  <si>
    <t>Chủ nghĩa xã hội khoa học</t>
  </si>
  <si>
    <t>VĂN PHÒNG ĐÀO TẠO QUỐC TẾ</t>
  </si>
  <si>
    <t>KẾ HOẠCH GIẢNG DẠY CHƯƠNG TRÌNH CỬ NHÂN CHẤT LƯỢNG CAO TĂNG CƯỜNG TIẾNG NHẬT KHÓA 2020</t>
  </si>
  <si>
    <t>Ngành: Khoa học Máy tính (Computer Science)</t>
  </si>
  <si>
    <t>Tổng số tín chỉ:</t>
  </si>
  <si>
    <t>STT</t>
  </si>
  <si>
    <t>MSMH</t>
  </si>
  <si>
    <t>Tên môn học</t>
  </si>
  <si>
    <t>Tín chỉ</t>
  </si>
  <si>
    <t>Tên môn học tiếng Anh</t>
  </si>
  <si>
    <t>Học kỳ 1</t>
  </si>
  <si>
    <t>Các môn bắt buộc</t>
  </si>
  <si>
    <t>LA1003</t>
  </si>
  <si>
    <t>Anh văn 1</t>
  </si>
  <si>
    <t>English 1</t>
  </si>
  <si>
    <t>PE1003</t>
  </si>
  <si>
    <t>Giáo dục thể chất 1</t>
  </si>
  <si>
    <t>Physical Education 1</t>
  </si>
  <si>
    <t>MT1003</t>
  </si>
  <si>
    <t>Giải tích 1</t>
  </si>
  <si>
    <t>PH1003</t>
  </si>
  <si>
    <t>CO1005</t>
  </si>
  <si>
    <t>Nhập môn điện toán</t>
  </si>
  <si>
    <t>Introduction to Computing</t>
  </si>
  <si>
    <t>CO1023</t>
  </si>
  <si>
    <t>Hệ thống số</t>
  </si>
  <si>
    <t>Digital Systems</t>
  </si>
  <si>
    <t>LA1045</t>
  </si>
  <si>
    <t>Tiếng Nhật 1</t>
  </si>
  <si>
    <t>Japanese 1</t>
  </si>
  <si>
    <t>SP1041</t>
  </si>
  <si>
    <t>Kỹ năng mềm</t>
  </si>
  <si>
    <t>Soft Skill</t>
  </si>
  <si>
    <t>Các môn tự chọn nhóm kỹ năng xã hội (chọn 1 môn trong các môn học sau)</t>
  </si>
  <si>
    <t>SP1013</t>
  </si>
  <si>
    <t>Kỹ năng xã hội A (báo chí)</t>
  </si>
  <si>
    <t>Social Skills A</t>
  </si>
  <si>
    <t>SP1015</t>
  </si>
  <si>
    <t>Kỹ năng xã hội B (sân khấu)</t>
  </si>
  <si>
    <t>Social Skills B</t>
  </si>
  <si>
    <t>SP1017</t>
  </si>
  <si>
    <t>Kỹ năng xã hội C (Thanh nhạc)</t>
  </si>
  <si>
    <t>Social Skills C</t>
  </si>
  <si>
    <t>SP1019</t>
  </si>
  <si>
    <t>Kỹ năng xã hội D (Nhiếp ảnh)</t>
  </si>
  <si>
    <t>Social Skills D</t>
  </si>
  <si>
    <t>SP1021</t>
  </si>
  <si>
    <t>Kỹ năng xã hội E (dẫn chương trình)</t>
  </si>
  <si>
    <t>Social Skills E</t>
  </si>
  <si>
    <t>SP1023</t>
  </si>
  <si>
    <t>Kỹ năng xã hội F (nhảy hiện đại)</t>
  </si>
  <si>
    <t>Social Skills F</t>
  </si>
  <si>
    <t>SP1025</t>
  </si>
  <si>
    <t>Kỹ năng xã hội G (nhảy đường phố)</t>
  </si>
  <si>
    <t>Social Skills G</t>
  </si>
  <si>
    <t>SP1027</t>
  </si>
  <si>
    <t>Kỹ năng xã hội H (tư duy phản biện)</t>
  </si>
  <si>
    <t>Social Skills H</t>
  </si>
  <si>
    <t>Học kỳ 2</t>
  </si>
  <si>
    <t>LA1005</t>
  </si>
  <si>
    <t>Anh văn 2</t>
  </si>
  <si>
    <t>English 2</t>
  </si>
  <si>
    <t>PE1005</t>
  </si>
  <si>
    <t>Giáo dục thể chất 2</t>
  </si>
  <si>
    <t>Physical Education 2</t>
  </si>
  <si>
    <t>MT1005</t>
  </si>
  <si>
    <t>MT1007</t>
  </si>
  <si>
    <t>CO1007</t>
  </si>
  <si>
    <t>CO1027</t>
  </si>
  <si>
    <t>Kỹ thuật lập trình</t>
  </si>
  <si>
    <t>Programming Fundamentals</t>
  </si>
  <si>
    <t>PH1007</t>
  </si>
  <si>
    <t>LA1047</t>
  </si>
  <si>
    <t>Tiếng Nhật 2</t>
  </si>
  <si>
    <t>Japanese 2</t>
  </si>
  <si>
    <t>Học kỳ 3</t>
  </si>
  <si>
    <t>LA1007</t>
  </si>
  <si>
    <t>Anh văn 3</t>
  </si>
  <si>
    <t>English 3</t>
  </si>
  <si>
    <t>SP1031</t>
  </si>
  <si>
    <t>CO2007</t>
  </si>
  <si>
    <t>Kiến trúc máy tính</t>
  </si>
  <si>
    <t>Computer Architecture</t>
  </si>
  <si>
    <t>CO2011</t>
  </si>
  <si>
    <t>CO2003</t>
  </si>
  <si>
    <t>Cấu trúc dữ liệu và giải thuật</t>
  </si>
  <si>
    <t>Data Structures and Algorithms</t>
  </si>
  <si>
    <t>PE1007</t>
  </si>
  <si>
    <t>Giáo dục thể chất 3</t>
  </si>
  <si>
    <t>Physical Education 3</t>
  </si>
  <si>
    <t>LA2017</t>
  </si>
  <si>
    <t>Tiếng Nhật 3</t>
  </si>
  <si>
    <t>Japanese 3</t>
  </si>
  <si>
    <t>MI1003</t>
  </si>
  <si>
    <t>Giáo dục quốc phòng</t>
  </si>
  <si>
    <t>Military Training</t>
  </si>
  <si>
    <t>Học kỳ 4</t>
  </si>
  <si>
    <t>LA1009</t>
  </si>
  <si>
    <t>Anh văn 4</t>
  </si>
  <si>
    <t>English 4</t>
  </si>
  <si>
    <t>SP1033</t>
  </si>
  <si>
    <t>CO2017</t>
  </si>
  <si>
    <t>Hệ điều hành</t>
  </si>
  <si>
    <t>Operating Systems</t>
  </si>
  <si>
    <t>CO2039</t>
  </si>
  <si>
    <t>Lập trình nâng cao</t>
  </si>
  <si>
    <t>Advanced Programming</t>
  </si>
  <si>
    <t>MT2013</t>
  </si>
  <si>
    <t>LA2019</t>
  </si>
  <si>
    <t>Tiếng Nhật 4</t>
  </si>
  <si>
    <t>Japanese 4</t>
  </si>
  <si>
    <t>Các môn tự chọn tự do (chọn 3 tín chỉ)</t>
  </si>
  <si>
    <t>Tự chọn tự do 1</t>
  </si>
  <si>
    <t>Free Elective</t>
  </si>
  <si>
    <t>Học kỳ 5</t>
  </si>
  <si>
    <t>SP1035</t>
  </si>
  <si>
    <t>Scientific Socialism</t>
  </si>
  <si>
    <t>CO3093</t>
  </si>
  <si>
    <t>Mạng máy tính</t>
  </si>
  <si>
    <t>Computer Networks</t>
  </si>
  <si>
    <t>CO2013</t>
  </si>
  <si>
    <t>Hệ cơ sở dữ liệu</t>
  </si>
  <si>
    <t>Database Systems</t>
  </si>
  <si>
    <t>CO3001</t>
  </si>
  <si>
    <t>Công nghệ phần mềm</t>
  </si>
  <si>
    <t>Software Engineering</t>
  </si>
  <si>
    <t>CH1003</t>
  </si>
  <si>
    <t>LA3025</t>
  </si>
  <si>
    <t>Tiếng Nhật 5</t>
  </si>
  <si>
    <t>Japanese 5</t>
  </si>
  <si>
    <t>SP1043</t>
  </si>
  <si>
    <t>Văn hoá Nhật</t>
  </si>
  <si>
    <t>Japanese Culture</t>
  </si>
  <si>
    <t>Các môn tự chọn nhóm A (chọn 1 tín chỉ trong các môn học sau)</t>
  </si>
  <si>
    <t>CO3101</t>
  </si>
  <si>
    <t>Đồ án tổng hợp - hướng trí tuệ nhân tạo</t>
  </si>
  <si>
    <t>Programming Intergration Project</t>
  </si>
  <si>
    <t>CO3103</t>
  </si>
  <si>
    <t>Đồ án tổng hợp - hướng công nghệ phần mềm</t>
  </si>
  <si>
    <t>CO3105</t>
  </si>
  <si>
    <t>Đồ án tổng hợp - hướng hệ thống thông tin</t>
  </si>
  <si>
    <t>Học kỳ 6</t>
  </si>
  <si>
    <t>SP1039</t>
  </si>
  <si>
    <t>Lịch sử Đảng Cộng sản Việt Nam</t>
  </si>
  <si>
    <t>History of Vietnamese Communist Party</t>
  </si>
  <si>
    <t>CO3029</t>
  </si>
  <si>
    <t>Khai phá dữ liệu</t>
  </si>
  <si>
    <t>Data Mining</t>
  </si>
  <si>
    <t>CO3089</t>
  </si>
  <si>
    <t>Những chủ đề nâng cao trong khoa học máy tính</t>
  </si>
  <si>
    <t>Selected Topics in High Performance Computing</t>
  </si>
  <si>
    <t>CO3061</t>
  </si>
  <si>
    <t>Nhập môn trí tuệ nhân tạo</t>
  </si>
  <si>
    <t>Introduction to Artificial Intelligence</t>
  </si>
  <si>
    <t>LA3027</t>
  </si>
  <si>
    <t>Tiếng Nhật 6</t>
  </si>
  <si>
    <t>Japanese 6</t>
  </si>
  <si>
    <t>Tự chọn tự do 2</t>
  </si>
  <si>
    <t>Các môn tự chọn nhóm B (chọn 1 tín chỉ trong các môn học sau)</t>
  </si>
  <si>
    <t>CO3107</t>
  </si>
  <si>
    <t>Thực tập đồ án môn học đa ngành - hướng trí tuệ nhân tạo</t>
  </si>
  <si>
    <t>Multidisciplinary Project</t>
  </si>
  <si>
    <t>CO3109</t>
  </si>
  <si>
    <t>Thực tập đồ án môn học đa ngành - hướng công nghệ phần mềm</t>
  </si>
  <si>
    <t>CO3111</t>
  </si>
  <si>
    <t>Thực tập đồ án môn học đa ngành - hướng hệ thống thông tin</t>
  </si>
  <si>
    <t>Học kỳ 6 hè</t>
  </si>
  <si>
    <t>CO3335</t>
  </si>
  <si>
    <t>Thực tập ngoài trường</t>
  </si>
  <si>
    <t>Internship</t>
  </si>
  <si>
    <t>Học kỳ 7</t>
  </si>
  <si>
    <t>SP1037</t>
  </si>
  <si>
    <t>Tư tưởng Hồ Chí Minh</t>
  </si>
  <si>
    <t>Ho Chi Minh Ideology</t>
  </si>
  <si>
    <t>CO4029</t>
  </si>
  <si>
    <t>Đồ án chuyên ngành</t>
  </si>
  <si>
    <t>Specialized Project</t>
  </si>
  <si>
    <t>CO2001</t>
  </si>
  <si>
    <t>Kỹ năng chuyên nghiệp cho kỹ sư</t>
  </si>
  <si>
    <t>Professional Skills for Engineers</t>
  </si>
  <si>
    <t>CO3005</t>
  </si>
  <si>
    <t>Nguyên lý ngôn ngữ lập trình</t>
  </si>
  <si>
    <t>Principles of Programming Languages</t>
  </si>
  <si>
    <t>LA4007</t>
  </si>
  <si>
    <t>Tiếng Nhật 7</t>
  </si>
  <si>
    <t>Japanese 7</t>
  </si>
  <si>
    <t>Các môn tự chọn nhóm D (chọn 3 tín chỉ trong các môn học sau)</t>
  </si>
  <si>
    <t>IM1013</t>
  </si>
  <si>
    <t>Kinh tế học đại cương</t>
  </si>
  <si>
    <t>Economics</t>
  </si>
  <si>
    <t>IM3001</t>
  </si>
  <si>
    <t>Quản trị kinh doanh cho kỹ sư</t>
  </si>
  <si>
    <t>Business Administration for Engineers</t>
  </si>
  <si>
    <t>IM1027</t>
  </si>
  <si>
    <t>Kinh tế kỹ thuật</t>
  </si>
  <si>
    <t>Engineering Economics</t>
  </si>
  <si>
    <t>IM1023</t>
  </si>
  <si>
    <t>Quản lý sản xuất cho kỹ sư</t>
  </si>
  <si>
    <t>Production and Operations Management</t>
  </si>
  <si>
    <t>IM1025</t>
  </si>
  <si>
    <t>Quản lý dự án cho kỹ sư</t>
  </si>
  <si>
    <t>Project Management for Engineers</t>
  </si>
  <si>
    <t>Học kỳ 8</t>
  </si>
  <si>
    <t>SP1007</t>
  </si>
  <si>
    <t>CO4337</t>
  </si>
  <si>
    <t>Đồ án tốt nghiệp (Khoa học Máy tính)</t>
  </si>
  <si>
    <t>Capstone Project</t>
  </si>
  <si>
    <t>LA4009</t>
  </si>
  <si>
    <t>Tiếng Nhật 8</t>
  </si>
  <si>
    <t>Japanese 8</t>
  </si>
  <si>
    <t>Tự chọn tự do 3</t>
  </si>
  <si>
    <t>Các môn tự chọn nhóm C (chọn 6 tín chỉ trong các môn học sau)</t>
  </si>
  <si>
    <t>CO3011</t>
  </si>
  <si>
    <t>Quản lý dự án phần mềm</t>
  </si>
  <si>
    <t>Software Project Management</t>
  </si>
  <si>
    <t>CO3013</t>
  </si>
  <si>
    <t>Xây dựng chương trình dịch</t>
  </si>
  <si>
    <t>Compiler Construction</t>
  </si>
  <si>
    <t>CO3015</t>
  </si>
  <si>
    <t>Kiểm tra phần mềm</t>
  </si>
  <si>
    <t>Software Testing</t>
  </si>
  <si>
    <t>CO3017</t>
  </si>
  <si>
    <t>Kiến trúc phần mềm</t>
  </si>
  <si>
    <t>Software Architecture</t>
  </si>
  <si>
    <t>CO3021</t>
  </si>
  <si>
    <t>Hệ quản trị cơ sở dữ liệu</t>
  </si>
  <si>
    <t>Database Management Systems</t>
  </si>
  <si>
    <t>CO3027</t>
  </si>
  <si>
    <t>Thương mại điện tử</t>
  </si>
  <si>
    <t>Electronic Commerce</t>
  </si>
  <si>
    <t>CO3033</t>
  </si>
  <si>
    <t>Bảo mật hệ thống thông tin</t>
  </si>
  <si>
    <t>Information System Security</t>
  </si>
  <si>
    <t>CO3035</t>
  </si>
  <si>
    <t>Hệ thời gian thực</t>
  </si>
  <si>
    <t>Real-Time Systems</t>
  </si>
  <si>
    <t>CO3037</t>
  </si>
  <si>
    <t>Phát triển ứng dụng internet of things</t>
  </si>
  <si>
    <t>Internet of Things Application Development</t>
  </si>
  <si>
    <t>CO3041</t>
  </si>
  <si>
    <t>Hệ thống thông minh</t>
  </si>
  <si>
    <t>Intelligent Systems</t>
  </si>
  <si>
    <t>CO3043</t>
  </si>
  <si>
    <t>Phát triển ứng dụng trên thiết bị di động</t>
  </si>
  <si>
    <t>Mobile Application Development</t>
  </si>
  <si>
    <t>CO3045</t>
  </si>
  <si>
    <t>Lập trình game</t>
  </si>
  <si>
    <t>Game Programming</t>
  </si>
  <si>
    <t>CO3047</t>
  </si>
  <si>
    <t>Mạng máy tính nâng cao</t>
  </si>
  <si>
    <t>Advanced Computer Networks</t>
  </si>
  <si>
    <t>CO3049</t>
  </si>
  <si>
    <t>Lập trình web</t>
  </si>
  <si>
    <t>Web Programming</t>
  </si>
  <si>
    <t>CO3051</t>
  </si>
  <si>
    <t>Hệ thống thiết bị di động</t>
  </si>
  <si>
    <t>Mobile Systems</t>
  </si>
  <si>
    <t>CO3057</t>
  </si>
  <si>
    <t>Xử lý ảnh số và thị giác máy tính</t>
  </si>
  <si>
    <t>Digital Image Processing and Computer Vision</t>
  </si>
  <si>
    <t>CO3059</t>
  </si>
  <si>
    <t>Đồ họa máy tính</t>
  </si>
  <si>
    <t>Computer Graphics</t>
  </si>
  <si>
    <t>CO3065</t>
  </si>
  <si>
    <t>Công nghệ phần mềm nâng cao</t>
  </si>
  <si>
    <t>Advanced Software Engineering</t>
  </si>
  <si>
    <t>CO3069</t>
  </si>
  <si>
    <t>Mật mã và an ninh mạng</t>
  </si>
  <si>
    <t>Cryptography and Network Security</t>
  </si>
  <si>
    <t>CO3083</t>
  </si>
  <si>
    <t>Mật mã học và mã hóa thông tin</t>
  </si>
  <si>
    <t>Advance Cryptography and Coding Theory</t>
  </si>
  <si>
    <t>CO3085</t>
  </si>
  <si>
    <t>Xử lý ngôn ngữ tự nhiên</t>
  </si>
  <si>
    <t>Natural Language Processing</t>
  </si>
  <si>
    <t>CO3115</t>
  </si>
  <si>
    <t>Phân tích và thiết kế hệ thống</t>
  </si>
  <si>
    <t>Systems Analysis and Design</t>
  </si>
  <si>
    <t>CO4025</t>
  </si>
  <si>
    <t>Mạng xã hội và thông tin</t>
  </si>
  <si>
    <t>Information and Social Networks</t>
  </si>
  <si>
    <t>CO3117</t>
  </si>
  <si>
    <t>Học máy</t>
  </si>
  <si>
    <t>Machine Learning</t>
  </si>
  <si>
    <t>CO4031</t>
  </si>
  <si>
    <t>Kho dữ liệu và hệ hỗ trợ ra quyết định</t>
  </si>
  <si>
    <t>Data Warehouses and Decision Support Systems</t>
  </si>
  <si>
    <t>CO4033</t>
  </si>
  <si>
    <t>Phân tích dữ liệu lớn và trí tuệ kinh doanh</t>
  </si>
  <si>
    <t>Big Data Analytics and Business Intelligence</t>
  </si>
  <si>
    <t>CO4035</t>
  </si>
  <si>
    <t>Hệ hoạch định tài nguyên tổ chức</t>
  </si>
  <si>
    <t>Enterprise Resource Planning Systems</t>
  </si>
  <si>
    <t>CO4037</t>
  </si>
  <si>
    <t>Hệ thống thông tin quản lý</t>
  </si>
  <si>
    <t>Management Information Systems</t>
  </si>
  <si>
    <t>CO4039</t>
  </si>
  <si>
    <t>Bảo mật sinh trắc</t>
  </si>
  <si>
    <t>Biometric Security</t>
  </si>
  <si>
    <t>Ngành: Khoa học Máy tính (Computer Science) - 128tc</t>
  </si>
  <si>
    <t>MH-BB/TC</t>
  </si>
  <si>
    <t>TC-1 (1/8 môn)</t>
  </si>
  <si>
    <t>x</t>
  </si>
  <si>
    <t>TC-2 (1tc)</t>
  </si>
  <si>
    <t>TC-3 (1tc)</t>
  </si>
  <si>
    <t>TC-4 (3tc)</t>
  </si>
  <si>
    <t>TC-TD (9tc)</t>
  </si>
  <si>
    <t>Kế hoạch-HK</t>
  </si>
  <si>
    <t>6-hè</t>
  </si>
  <si>
    <t>Tự chọn tự do (3/9tc)</t>
  </si>
  <si>
    <t>Kiến thức GD đại cương - Toán</t>
  </si>
  <si>
    <t>Kiến thức GD đại cương - Khoa học tự nhiên</t>
  </si>
  <si>
    <t>Kỹ năng xã hội</t>
  </si>
  <si>
    <t>Kiến thức GD đại cương - Toán và Khoa học tự nhiên</t>
  </si>
  <si>
    <t>Kiến thức GD đại cương - Giáo dục chung khác (Nhập môn)</t>
  </si>
  <si>
    <t>Kiến thức GD đại cương - Giáo dục chung khác (Quản lý)</t>
  </si>
  <si>
    <t>Kiến thức GD đại cương - Kinh tế-Chính trị-Xã hội-Luật</t>
  </si>
  <si>
    <t>Kiến thức GD đại cương - Giáo dục chung khác (Con người và môi trường)</t>
  </si>
  <si>
    <t>Kiến thức GD đại cương - Ngoại ngữ</t>
  </si>
  <si>
    <t>Chứng chỉ</t>
  </si>
  <si>
    <t>Tốt nghiệp</t>
  </si>
  <si>
    <t>Tự chọn tự do</t>
  </si>
  <si>
    <t>Kiến thức GD chuyên nghiệp - Chuyên ngành (nhóm tự chọn A)</t>
  </si>
  <si>
    <t>Kiến thức GD chuyên nghiệp - Chuyên ngành (nhóm tự chọn B)</t>
  </si>
  <si>
    <t>Kiến thức GD chuyên nghiệp - Cơ sở ngành</t>
  </si>
  <si>
    <t>Kiến thức GD chuyên nghiệp - Chuyên ngành</t>
  </si>
  <si>
    <t>Học kỳ 1 Năm học 2023 - 2024</t>
  </si>
  <si>
    <t>Mã Môn học</t>
  </si>
  <si>
    <t>Số tín chỉ</t>
  </si>
  <si>
    <t>Điểm số</t>
  </si>
  <si>
    <t>Điểm chữ</t>
  </si>
  <si>
    <t>8.3</t>
  </si>
  <si>
    <t>B+</t>
  </si>
  <si>
    <t>5.4</t>
  </si>
  <si>
    <t>D+</t>
  </si>
  <si>
    <t>5.7</t>
  </si>
  <si>
    <t>C</t>
  </si>
  <si>
    <t>3.5</t>
  </si>
  <si>
    <t>F</t>
  </si>
  <si>
    <t>PE1011</t>
  </si>
  <si>
    <t>Bóng chuyền (Học phần 1)</t>
  </si>
  <si>
    <t>6.0</t>
  </si>
  <si>
    <t>Nhập môn Điện toán</t>
  </si>
  <si>
    <t>7.4</t>
  </si>
  <si>
    <t>B</t>
  </si>
  <si>
    <t>6.1</t>
  </si>
  <si>
    <t>SP1045</t>
  </si>
  <si>
    <t>Kỹ năng Xã hội I</t>
  </si>
  <si>
    <t>9.2</t>
  </si>
  <si>
    <t>A</t>
  </si>
  <si>
    <t>ĐTBHK: 1.6</t>
  </si>
  <si>
    <t>ĐTBTL chung: 1.6</t>
  </si>
  <si>
    <t>Học kỳ 2 Năm học 2023 - 2024</t>
  </si>
  <si>
    <t>PE1039</t>
  </si>
  <si>
    <t>Bóng rổ (Học phần 2)</t>
  </si>
  <si>
    <t>Giáo dục Quốc phòng</t>
  </si>
  <si>
    <t>DT</t>
  </si>
  <si>
    <t>--</t>
  </si>
  <si>
    <t>5.0</t>
  </si>
  <si>
    <t>Cấu trúc Rời rạc cho Khoa học Máy tính</t>
  </si>
  <si>
    <t>4.8</t>
  </si>
  <si>
    <t>D</t>
  </si>
  <si>
    <t>Đại số Tuyến tính</t>
  </si>
  <si>
    <t>4.0</t>
  </si>
  <si>
    <t>Kỹ thuật Lập trình</t>
  </si>
  <si>
    <t>3.3</t>
  </si>
  <si>
    <t>Thí nghiệm Vật lý</t>
  </si>
  <si>
    <t>8.5</t>
  </si>
  <si>
    <t>ĐTBHK: 1.2</t>
  </si>
  <si>
    <t>ĐTBTL chung: 1.4</t>
  </si>
  <si>
    <t>Tính chất môn học</t>
  </si>
  <si>
    <t>Cấu trúc Dữ liệu và Giải Thuật</t>
  </si>
  <si>
    <t>Kiến trúc Máy tính</t>
  </si>
  <si>
    <t>Mô hình hóa Toán học</t>
  </si>
  <si>
    <t>Học kỳ 1 Năm học 2024 - 2025</t>
  </si>
  <si>
    <t>điểm TBTL</t>
  </si>
  <si>
    <t>Xác suất và Thống kê</t>
  </si>
  <si>
    <t>Học kỳ 3 Năm học 2024 - 2025</t>
  </si>
  <si>
    <t>4.5</t>
  </si>
  <si>
    <t>1.5</t>
  </si>
  <si>
    <t>6.6</t>
  </si>
  <si>
    <t>C+</t>
  </si>
  <si>
    <t>ĐTBTL chung: 1.5</t>
  </si>
  <si>
    <t>5.9</t>
  </si>
  <si>
    <t>DM gia su</t>
  </si>
  <si>
    <t>7.0 - 7.9</t>
  </si>
  <si>
    <t>5.0 - 5.4</t>
  </si>
  <si>
    <t>4.0 - 4.9</t>
  </si>
  <si>
    <t>&lt; 4.0</t>
  </si>
  <si>
    <t>A+</t>
  </si>
  <si>
    <t>0.0</t>
  </si>
  <si>
    <t>3.0</t>
  </si>
  <si>
    <t>2.5</t>
  </si>
  <si>
    <t>2.0</t>
  </si>
  <si>
    <t>6.5 - 6.9</t>
  </si>
  <si>
    <t>5.5 - 6.4</t>
  </si>
  <si>
    <t>8.0 - 8.4</t>
  </si>
  <si>
    <t>8.5 - 9.4</t>
  </si>
  <si>
    <t>1.0</t>
  </si>
  <si>
    <t>3.6 - 4.0</t>
  </si>
  <si>
    <t>3.2 - 3.5</t>
  </si>
  <si>
    <t>2.5 - 3.1</t>
  </si>
  <si>
    <t>2.0 - 2.4</t>
  </si>
  <si>
    <t>1.0 - 1.9</t>
  </si>
  <si>
    <t>&lt; 1.0</t>
  </si>
  <si>
    <t>Xuất sắc</t>
  </si>
  <si>
    <t>Giỏi</t>
  </si>
  <si>
    <t>Khá</t>
  </si>
  <si>
    <t>Trung bình</t>
  </si>
  <si>
    <t>Kém</t>
  </si>
  <si>
    <t>Xếp loại</t>
  </si>
  <si>
    <t>Yếu</t>
  </si>
  <si>
    <t>9.5 - 10.0</t>
  </si>
  <si>
    <t>-</t>
  </si>
  <si>
    <t>Thang 10</t>
  </si>
  <si>
    <t>Điểm_H.bổng</t>
  </si>
  <si>
    <t>3.6</t>
  </si>
  <si>
    <t>ĐTBHK: 1.0</t>
  </si>
  <si>
    <t>Học kỳ 2 Năm học 2024 - 2025</t>
  </si>
  <si>
    <t>Lập trình Nâng cao</t>
  </si>
  <si>
    <t>Kinh tế Chính trị Mác - Lênin</t>
  </si>
  <si>
    <t>Pháp luật Việt Nam Đại cương</t>
  </si>
  <si>
    <t>Mã môn học</t>
  </si>
  <si>
    <t>Nhóm</t>
  </si>
  <si>
    <t>Điểm đạt</t>
  </si>
  <si>
    <t>CN01</t>
  </si>
  <si>
    <t>CN02</t>
  </si>
  <si>
    <t>CC06</t>
  </si>
  <si>
    <t>CN03</t>
  </si>
  <si>
    <t>CC03</t>
  </si>
  <si>
    <t>231</t>
  </si>
  <si>
    <t>A02</t>
  </si>
  <si>
    <t>CN07</t>
  </si>
  <si>
    <t>232</t>
  </si>
  <si>
    <t>DT01</t>
  </si>
  <si>
    <t>DT02</t>
  </si>
  <si>
    <t>233</t>
  </si>
  <si>
    <t>241</t>
  </si>
  <si>
    <t>242</t>
  </si>
  <si>
    <t>tc-dat</t>
  </si>
  <si>
    <t>ttich</t>
  </si>
  <si>
    <t>231*</t>
  </si>
  <si>
    <t>232*</t>
  </si>
  <si>
    <t>ĐTBHK: 1.3</t>
  </si>
  <si>
    <t>233*</t>
  </si>
  <si>
    <t>241*</t>
  </si>
  <si>
    <t>diemso</t>
  </si>
  <si>
    <t>TCTL-chung</t>
  </si>
  <si>
    <t>TCTL-hk</t>
  </si>
  <si>
    <t>242*</t>
  </si>
  <si>
    <t>5.5</t>
  </si>
  <si>
    <t>6.5</t>
  </si>
  <si>
    <t>tc-dat_xtn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</si>
</sst>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1" x14ac:knownFonts="1">
    <font>
      <sz val="10"/>
      <name val="Arial"/>
    </font>
    <font>
      <sz val="10"/>
      <name val="Arial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8"/>
      <name val="Arial"/>
      <family val="2"/>
    </font>
    <font>
      <b/>
      <sz val="13"/>
      <color indexed="8"/>
      <name val="Arial"/>
      <family val="2"/>
    </font>
    <font>
      <b/>
      <sz val="11"/>
      <color indexed="8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8"/>
      <color indexed="8"/>
      <name val="Arial"/>
      <family val="2"/>
    </font>
    <font>
      <sz val="11"/>
      <color indexed="10"/>
      <name val="Arial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  <font>
      <i/>
      <sz val="9"/>
      <color indexed="8"/>
      <name val="Calibri"/>
      <family val="2"/>
    </font>
    <font>
      <b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63"/>
      <name val="Arial"/>
      <family val="2"/>
    </font>
    <font>
      <sz val="8"/>
      <name val="Arial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63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55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1" applyNumberFormat="0" applyAlignment="0" applyProtection="0"/>
    <xf numFmtId="0" fontId="6" fillId="18" borderId="2" applyNumberFormat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7" fillId="0" borderId="0"/>
    <xf numFmtId="0" fontId="7" fillId="4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0" fontId="20" fillId="0" borderId="0" xfId="37" applyFont="1"/>
    <xf numFmtId="0" fontId="21" fillId="0" borderId="0" xfId="37" applyFont="1" applyAlignment="1">
      <alignment horizontal="right"/>
    </xf>
    <xf numFmtId="0" fontId="19" fillId="0" borderId="0" xfId="37" applyFont="1"/>
    <xf numFmtId="0" fontId="22" fillId="0" borderId="10" xfId="37" applyFont="1" applyBorder="1" applyAlignment="1">
      <alignment horizontal="center"/>
    </xf>
    <xf numFmtId="0" fontId="22" fillId="0" borderId="10" xfId="37" applyFont="1" applyBorder="1"/>
    <xf numFmtId="0" fontId="23" fillId="0" borderId="10" xfId="37" applyFont="1" applyBorder="1"/>
    <xf numFmtId="0" fontId="20" fillId="0" borderId="10" xfId="37" applyFont="1" applyBorder="1" applyAlignment="1">
      <alignment horizontal="center"/>
    </xf>
    <xf numFmtId="0" fontId="20" fillId="0" borderId="10" xfId="37" applyFont="1" applyBorder="1" applyAlignment="1">
      <alignment horizontal="left"/>
    </xf>
    <xf numFmtId="0" fontId="24" fillId="19" borderId="0" xfId="37" applyFont="1" applyFill="1"/>
    <xf numFmtId="0" fontId="27" fillId="0" borderId="0" xfId="0" applyFont="1" applyFill="1" applyBorder="1" applyAlignment="1"/>
    <xf numFmtId="0" fontId="31" fillId="0" borderId="0" xfId="37" applyFont="1" applyFill="1" applyBorder="1" applyAlignment="1"/>
    <xf numFmtId="0" fontId="30" fillId="0" borderId="0" xfId="37" applyFont="1" applyFill="1" applyBorder="1" applyAlignment="1"/>
    <xf numFmtId="0" fontId="26" fillId="0" borderId="0" xfId="37" applyFont="1" applyFill="1" applyBorder="1" applyAlignment="1"/>
    <xf numFmtId="0" fontId="28" fillId="0" borderId="0" xfId="37" applyFont="1" applyFill="1" applyBorder="1" applyAlignment="1"/>
    <xf numFmtId="0" fontId="29" fillId="0" borderId="0" xfId="37" applyFont="1" applyFill="1" applyBorder="1" applyAlignment="1"/>
    <xf numFmtId="0" fontId="0" fillId="0" borderId="0" xfId="0" applyNumberFormat="1"/>
    <xf numFmtId="0" fontId="0" fillId="0" borderId="0" xfId="0" applyNumberFormat="1" applyAlignment="1">
      <alignment horizontal="center"/>
    </xf>
    <xf numFmtId="172" fontId="0" fillId="0" borderId="0" xfId="0" applyNumberFormat="1"/>
    <xf numFmtId="0" fontId="28" fillId="0" borderId="0" xfId="37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32" fillId="0" borderId="0" xfId="0" applyNumberFormat="1" applyFont="1"/>
    <xf numFmtId="172" fontId="33" fillId="0" borderId="0" xfId="0" applyNumberFormat="1" applyFont="1" applyAlignment="1">
      <alignment horizontal="center"/>
    </xf>
    <xf numFmtId="0" fontId="34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0" fillId="0" borderId="0" xfId="0" applyNumberFormat="1" applyFont="1"/>
    <xf numFmtId="0" fontId="35" fillId="0" borderId="0" xfId="0" applyNumberFormat="1" applyFont="1"/>
    <xf numFmtId="0" fontId="7" fillId="0" borderId="0" xfId="37"/>
    <xf numFmtId="49" fontId="7" fillId="0" borderId="0" xfId="37" applyNumberFormat="1"/>
    <xf numFmtId="0" fontId="38" fillId="0" borderId="0" xfId="0" applyFont="1"/>
    <xf numFmtId="0" fontId="36" fillId="0" borderId="0" xfId="0" applyFont="1"/>
    <xf numFmtId="0" fontId="7" fillId="0" borderId="0" xfId="37" applyAlignment="1">
      <alignment horizontal="center"/>
    </xf>
    <xf numFmtId="0" fontId="37" fillId="0" borderId="0" xfId="0" applyFont="1" applyAlignment="1">
      <alignment horizontal="center"/>
    </xf>
    <xf numFmtId="172" fontId="39" fillId="0" borderId="0" xfId="0" applyNumberFormat="1" applyFont="1" applyAlignment="1">
      <alignment horizontal="center"/>
    </xf>
    <xf numFmtId="0" fontId="39" fillId="0" borderId="0" xfId="0" applyFont="1"/>
    <xf numFmtId="0" fontId="37" fillId="0" borderId="0" xfId="0" applyFont="1"/>
    <xf numFmtId="0" fontId="40" fillId="0" borderId="0" xfId="37" applyFont="1" applyFill="1"/>
    <xf numFmtId="0" fontId="23" fillId="0" borderId="11" xfId="37" applyFont="1" applyBorder="1" applyAlignment="1">
      <alignment horizontal="left"/>
    </xf>
    <xf numFmtId="0" fontId="1" fillId="0" borderId="13" xfId="37" applyFont="1" applyBorder="1"/>
    <xf numFmtId="0" fontId="1" fillId="0" borderId="12" xfId="37" applyFont="1" applyBorder="1"/>
    <xf numFmtId="0" fontId="22" fillId="0" borderId="11" xfId="37" applyFont="1" applyBorder="1" applyAlignment="1">
      <alignment horizontal="left"/>
    </xf>
    <xf numFmtId="0" fontId="19" fillId="0" borderId="0" xfId="37" applyFont="1" applyAlignment="1">
      <alignment horizontal="left"/>
    </xf>
    <xf numFmtId="0" fontId="7" fillId="0" borderId="0" xfId="37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opLeftCell="A94" workbookViewId="0">
      <selection activeCell="B74" sqref="B74"/>
    </sheetView>
  </sheetViews>
  <sheetFormatPr defaultRowHeight="13.2" x14ac:dyDescent="0.25"/>
  <cols>
    <col min="3" max="3" width="58.6640625" bestFit="1" customWidth="1"/>
    <col min="5" max="5" width="44.44140625" bestFit="1" customWidth="1"/>
  </cols>
  <sheetData>
    <row r="1" spans="1:5" ht="17.399999999999999" x14ac:dyDescent="0.35">
      <c r="A1" s="42" t="s">
        <v>24</v>
      </c>
      <c r="B1" s="43"/>
      <c r="C1" s="43"/>
      <c r="D1" s="1"/>
      <c r="E1" s="2"/>
    </row>
    <row r="2" spans="1:5" ht="17.399999999999999" x14ac:dyDescent="0.35">
      <c r="A2" s="42" t="s">
        <v>25</v>
      </c>
      <c r="B2" s="43"/>
      <c r="C2" s="43"/>
      <c r="D2" s="43"/>
      <c r="E2" s="43"/>
    </row>
    <row r="3" spans="1:5" ht="17.399999999999999" x14ac:dyDescent="0.35">
      <c r="A3" s="3"/>
      <c r="B3" s="1"/>
      <c r="C3" s="1"/>
      <c r="D3" s="1"/>
      <c r="E3" s="2"/>
    </row>
    <row r="4" spans="1:5" ht="17.399999999999999" x14ac:dyDescent="0.35">
      <c r="A4" s="42" t="s">
        <v>26</v>
      </c>
      <c r="B4" s="43"/>
      <c r="C4" s="43"/>
      <c r="D4" s="1"/>
      <c r="E4" s="1"/>
    </row>
    <row r="5" spans="1:5" ht="17.399999999999999" x14ac:dyDescent="0.35">
      <c r="A5" s="42" t="s">
        <v>27</v>
      </c>
      <c r="B5" s="43"/>
      <c r="C5" s="43"/>
      <c r="D5" s="1">
        <v>125</v>
      </c>
      <c r="E5" s="1"/>
    </row>
    <row r="6" spans="1:5" ht="15.6" x14ac:dyDescent="0.3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</row>
    <row r="7" spans="1:5" ht="15.6" x14ac:dyDescent="0.3">
      <c r="A7" s="41" t="s">
        <v>33</v>
      </c>
      <c r="B7" s="40"/>
      <c r="C7" s="5"/>
      <c r="D7" s="4">
        <v>16</v>
      </c>
      <c r="E7" s="5"/>
    </row>
    <row r="8" spans="1:5" ht="14.4" x14ac:dyDescent="0.3">
      <c r="A8" s="38" t="s">
        <v>34</v>
      </c>
      <c r="B8" s="40"/>
      <c r="C8" s="6"/>
      <c r="D8" s="6"/>
      <c r="E8" s="6"/>
    </row>
    <row r="9" spans="1:5" ht="14.4" x14ac:dyDescent="0.3">
      <c r="A9" s="7">
        <v>1</v>
      </c>
      <c r="B9" s="7" t="s">
        <v>35</v>
      </c>
      <c r="C9" s="8" t="s">
        <v>36</v>
      </c>
      <c r="D9" s="7">
        <v>2</v>
      </c>
      <c r="E9" s="8" t="s">
        <v>37</v>
      </c>
    </row>
    <row r="10" spans="1:5" ht="14.4" x14ac:dyDescent="0.3">
      <c r="A10" s="7">
        <v>2</v>
      </c>
      <c r="B10" s="7" t="s">
        <v>38</v>
      </c>
      <c r="C10" s="8" t="s">
        <v>39</v>
      </c>
      <c r="D10" s="7">
        <v>0</v>
      </c>
      <c r="E10" s="8" t="s">
        <v>40</v>
      </c>
    </row>
    <row r="11" spans="1:5" ht="14.4" x14ac:dyDescent="0.3">
      <c r="A11" s="7">
        <v>3</v>
      </c>
      <c r="B11" s="7" t="s">
        <v>41</v>
      </c>
      <c r="C11" s="8" t="s">
        <v>42</v>
      </c>
      <c r="D11" s="7">
        <v>4</v>
      </c>
      <c r="E11" s="8" t="s">
        <v>0</v>
      </c>
    </row>
    <row r="12" spans="1:5" ht="14.4" x14ac:dyDescent="0.3">
      <c r="A12" s="7">
        <v>4</v>
      </c>
      <c r="B12" s="7" t="s">
        <v>43</v>
      </c>
      <c r="C12" s="8" t="s">
        <v>9</v>
      </c>
      <c r="D12" s="7">
        <v>4</v>
      </c>
      <c r="E12" s="8" t="s">
        <v>10</v>
      </c>
    </row>
    <row r="13" spans="1:5" ht="14.4" x14ac:dyDescent="0.3">
      <c r="A13" s="7">
        <v>5</v>
      </c>
      <c r="B13" s="7" t="s">
        <v>44</v>
      </c>
      <c r="C13" s="8" t="s">
        <v>45</v>
      </c>
      <c r="D13" s="7">
        <v>3</v>
      </c>
      <c r="E13" s="8" t="s">
        <v>46</v>
      </c>
    </row>
    <row r="14" spans="1:5" ht="14.4" x14ac:dyDescent="0.3">
      <c r="A14" s="7">
        <v>6</v>
      </c>
      <c r="B14" s="7" t="s">
        <v>47</v>
      </c>
      <c r="C14" s="8" t="s">
        <v>48</v>
      </c>
      <c r="D14" s="7">
        <v>3</v>
      </c>
      <c r="E14" s="8" t="s">
        <v>49</v>
      </c>
    </row>
    <row r="15" spans="1:5" ht="14.4" x14ac:dyDescent="0.3">
      <c r="A15" s="7">
        <v>7</v>
      </c>
      <c r="B15" s="7" t="s">
        <v>50</v>
      </c>
      <c r="C15" s="8" t="s">
        <v>51</v>
      </c>
      <c r="D15" s="7">
        <v>0</v>
      </c>
      <c r="E15" s="8" t="s">
        <v>52</v>
      </c>
    </row>
    <row r="16" spans="1:5" ht="14.4" x14ac:dyDescent="0.3">
      <c r="A16" s="7">
        <v>8</v>
      </c>
      <c r="B16" s="7" t="s">
        <v>53</v>
      </c>
      <c r="C16" s="8" t="s">
        <v>54</v>
      </c>
      <c r="D16" s="7">
        <v>0</v>
      </c>
      <c r="E16" s="8" t="s">
        <v>55</v>
      </c>
    </row>
    <row r="17" spans="1:5" ht="14.4" x14ac:dyDescent="0.3">
      <c r="A17" s="38" t="s">
        <v>56</v>
      </c>
      <c r="B17" s="39"/>
      <c r="C17" s="40"/>
      <c r="D17" s="6"/>
      <c r="E17" s="6"/>
    </row>
    <row r="18" spans="1:5" ht="14.4" x14ac:dyDescent="0.3">
      <c r="A18" s="7">
        <v>9</v>
      </c>
      <c r="B18" s="7" t="s">
        <v>57</v>
      </c>
      <c r="C18" s="8" t="s">
        <v>58</v>
      </c>
      <c r="D18" s="7">
        <v>0</v>
      </c>
      <c r="E18" s="8" t="s">
        <v>59</v>
      </c>
    </row>
    <row r="19" spans="1:5" ht="14.4" x14ac:dyDescent="0.3">
      <c r="A19" s="7">
        <v>10</v>
      </c>
      <c r="B19" s="7" t="s">
        <v>60</v>
      </c>
      <c r="C19" s="8" t="s">
        <v>61</v>
      </c>
      <c r="D19" s="7">
        <v>0</v>
      </c>
      <c r="E19" s="8" t="s">
        <v>62</v>
      </c>
    </row>
    <row r="20" spans="1:5" ht="14.4" x14ac:dyDescent="0.3">
      <c r="A20" s="7">
        <v>11</v>
      </c>
      <c r="B20" s="7" t="s">
        <v>63</v>
      </c>
      <c r="C20" s="8" t="s">
        <v>64</v>
      </c>
      <c r="D20" s="7">
        <v>0</v>
      </c>
      <c r="E20" s="8" t="s">
        <v>65</v>
      </c>
    </row>
    <row r="21" spans="1:5" ht="14.4" x14ac:dyDescent="0.3">
      <c r="A21" s="7">
        <v>12</v>
      </c>
      <c r="B21" s="7" t="s">
        <v>66</v>
      </c>
      <c r="C21" s="8" t="s">
        <v>67</v>
      </c>
      <c r="D21" s="7">
        <v>0</v>
      </c>
      <c r="E21" s="8" t="s">
        <v>68</v>
      </c>
    </row>
    <row r="22" spans="1:5" ht="14.4" x14ac:dyDescent="0.3">
      <c r="A22" s="7">
        <v>13</v>
      </c>
      <c r="B22" s="7" t="s">
        <v>69</v>
      </c>
      <c r="C22" s="8" t="s">
        <v>70</v>
      </c>
      <c r="D22" s="7">
        <v>0</v>
      </c>
      <c r="E22" s="8" t="s">
        <v>71</v>
      </c>
    </row>
    <row r="23" spans="1:5" ht="14.4" x14ac:dyDescent="0.3">
      <c r="A23" s="7">
        <v>14</v>
      </c>
      <c r="B23" s="7" t="s">
        <v>72</v>
      </c>
      <c r="C23" s="8" t="s">
        <v>73</v>
      </c>
      <c r="D23" s="7">
        <v>0</v>
      </c>
      <c r="E23" s="8" t="s">
        <v>74</v>
      </c>
    </row>
    <row r="24" spans="1:5" ht="14.4" x14ac:dyDescent="0.3">
      <c r="A24" s="7">
        <v>15</v>
      </c>
      <c r="B24" s="7" t="s">
        <v>75</v>
      </c>
      <c r="C24" s="8" t="s">
        <v>76</v>
      </c>
      <c r="D24" s="7">
        <v>0</v>
      </c>
      <c r="E24" s="8" t="s">
        <v>77</v>
      </c>
    </row>
    <row r="25" spans="1:5" ht="14.4" x14ac:dyDescent="0.3">
      <c r="A25" s="7">
        <v>16</v>
      </c>
      <c r="B25" s="7" t="s">
        <v>78</v>
      </c>
      <c r="C25" s="8" t="s">
        <v>79</v>
      </c>
      <c r="D25" s="7">
        <v>0</v>
      </c>
      <c r="E25" s="8" t="s">
        <v>80</v>
      </c>
    </row>
    <row r="26" spans="1:5" ht="15.6" x14ac:dyDescent="0.3">
      <c r="A26" s="41" t="s">
        <v>81</v>
      </c>
      <c r="B26" s="40"/>
      <c r="C26" s="5"/>
      <c r="D26" s="4">
        <v>17</v>
      </c>
      <c r="E26" s="5"/>
    </row>
    <row r="27" spans="1:5" ht="14.4" x14ac:dyDescent="0.3">
      <c r="A27" s="38" t="s">
        <v>34</v>
      </c>
      <c r="B27" s="40"/>
      <c r="C27" s="6"/>
      <c r="D27" s="6"/>
      <c r="E27" s="6"/>
    </row>
    <row r="28" spans="1:5" ht="14.4" x14ac:dyDescent="0.3">
      <c r="A28" s="7">
        <v>1</v>
      </c>
      <c r="B28" s="7" t="s">
        <v>82</v>
      </c>
      <c r="C28" s="8" t="s">
        <v>83</v>
      </c>
      <c r="D28" s="7">
        <v>2</v>
      </c>
      <c r="E28" s="8" t="s">
        <v>84</v>
      </c>
    </row>
    <row r="29" spans="1:5" ht="14.4" x14ac:dyDescent="0.3">
      <c r="A29" s="7">
        <v>2</v>
      </c>
      <c r="B29" s="7" t="s">
        <v>85</v>
      </c>
      <c r="C29" s="8" t="s">
        <v>86</v>
      </c>
      <c r="D29" s="7">
        <v>0</v>
      </c>
      <c r="E29" s="8" t="s">
        <v>87</v>
      </c>
    </row>
    <row r="30" spans="1:5" ht="14.4" x14ac:dyDescent="0.3">
      <c r="A30" s="7">
        <v>3</v>
      </c>
      <c r="B30" s="7" t="s">
        <v>88</v>
      </c>
      <c r="C30" s="8" t="s">
        <v>1</v>
      </c>
      <c r="D30" s="7">
        <v>4</v>
      </c>
      <c r="E30" s="8" t="s">
        <v>2</v>
      </c>
    </row>
    <row r="31" spans="1:5" ht="14.4" x14ac:dyDescent="0.3">
      <c r="A31" s="7">
        <v>4</v>
      </c>
      <c r="B31" s="7" t="s">
        <v>89</v>
      </c>
      <c r="C31" s="8" t="s">
        <v>3</v>
      </c>
      <c r="D31" s="7">
        <v>3</v>
      </c>
      <c r="E31" s="8" t="s">
        <v>4</v>
      </c>
    </row>
    <row r="32" spans="1:5" ht="14.4" x14ac:dyDescent="0.3">
      <c r="A32" s="7">
        <v>5</v>
      </c>
      <c r="B32" s="7" t="s">
        <v>90</v>
      </c>
      <c r="C32" s="8" t="s">
        <v>13</v>
      </c>
      <c r="D32" s="7">
        <v>4</v>
      </c>
      <c r="E32" s="8" t="s">
        <v>14</v>
      </c>
    </row>
    <row r="33" spans="1:5" ht="14.4" x14ac:dyDescent="0.3">
      <c r="A33" s="7">
        <v>6</v>
      </c>
      <c r="B33" s="7" t="s">
        <v>91</v>
      </c>
      <c r="C33" s="8" t="s">
        <v>92</v>
      </c>
      <c r="D33" s="7">
        <v>3</v>
      </c>
      <c r="E33" s="8" t="s">
        <v>93</v>
      </c>
    </row>
    <row r="34" spans="1:5" ht="14.4" x14ac:dyDescent="0.3">
      <c r="A34" s="7">
        <v>7</v>
      </c>
      <c r="B34" s="7" t="s">
        <v>94</v>
      </c>
      <c r="C34" s="8" t="s">
        <v>11</v>
      </c>
      <c r="D34" s="7">
        <v>1</v>
      </c>
      <c r="E34" s="8" t="s">
        <v>12</v>
      </c>
    </row>
    <row r="35" spans="1:5" ht="14.4" x14ac:dyDescent="0.3">
      <c r="A35" s="7">
        <v>8</v>
      </c>
      <c r="B35" s="9" t="s">
        <v>95</v>
      </c>
      <c r="C35" s="8" t="s">
        <v>96</v>
      </c>
      <c r="D35" s="7">
        <v>0</v>
      </c>
      <c r="E35" s="8" t="s">
        <v>97</v>
      </c>
    </row>
    <row r="36" spans="1:5" ht="15.6" x14ac:dyDescent="0.3">
      <c r="A36" s="41" t="s">
        <v>98</v>
      </c>
      <c r="B36" s="40"/>
      <c r="C36" s="5"/>
      <c r="D36" s="4">
        <v>16</v>
      </c>
      <c r="E36" s="5"/>
    </row>
    <row r="37" spans="1:5" ht="14.4" x14ac:dyDescent="0.3">
      <c r="A37" s="38" t="s">
        <v>34</v>
      </c>
      <c r="B37" s="40"/>
      <c r="C37" s="6"/>
      <c r="D37" s="6"/>
      <c r="E37" s="6"/>
    </row>
    <row r="38" spans="1:5" ht="14.4" x14ac:dyDescent="0.3">
      <c r="A38" s="7">
        <v>1</v>
      </c>
      <c r="B38" s="7" t="s">
        <v>99</v>
      </c>
      <c r="C38" s="8" t="s">
        <v>100</v>
      </c>
      <c r="D38" s="7">
        <v>2</v>
      </c>
      <c r="E38" s="8" t="s">
        <v>101</v>
      </c>
    </row>
    <row r="39" spans="1:5" ht="14.4" x14ac:dyDescent="0.3">
      <c r="A39" s="7">
        <v>1</v>
      </c>
      <c r="B39" s="7" t="s">
        <v>102</v>
      </c>
      <c r="C39" s="8" t="s">
        <v>19</v>
      </c>
      <c r="D39" s="7">
        <v>3</v>
      </c>
      <c r="E39" s="8" t="s">
        <v>20</v>
      </c>
    </row>
    <row r="40" spans="1:5" ht="14.4" x14ac:dyDescent="0.3">
      <c r="A40" s="7">
        <v>2</v>
      </c>
      <c r="B40" s="7" t="s">
        <v>103</v>
      </c>
      <c r="C40" s="8" t="s">
        <v>104</v>
      </c>
      <c r="D40" s="7">
        <v>4</v>
      </c>
      <c r="E40" s="8" t="s">
        <v>105</v>
      </c>
    </row>
    <row r="41" spans="1:5" ht="14.4" x14ac:dyDescent="0.3">
      <c r="A41" s="7">
        <v>3</v>
      </c>
      <c r="B41" s="7" t="s">
        <v>106</v>
      </c>
      <c r="C41" s="8" t="s">
        <v>15</v>
      </c>
      <c r="D41" s="7">
        <v>3</v>
      </c>
      <c r="E41" s="8" t="s">
        <v>16</v>
      </c>
    </row>
    <row r="42" spans="1:5" ht="14.4" x14ac:dyDescent="0.3">
      <c r="A42" s="7">
        <v>4</v>
      </c>
      <c r="B42" s="7" t="s">
        <v>107</v>
      </c>
      <c r="C42" s="8" t="s">
        <v>108</v>
      </c>
      <c r="D42" s="7">
        <v>4</v>
      </c>
      <c r="E42" s="8" t="s">
        <v>109</v>
      </c>
    </row>
    <row r="43" spans="1:5" ht="14.4" x14ac:dyDescent="0.3">
      <c r="A43" s="7">
        <v>5</v>
      </c>
      <c r="B43" s="7" t="s">
        <v>110</v>
      </c>
      <c r="C43" s="8" t="s">
        <v>111</v>
      </c>
      <c r="D43" s="7">
        <v>0</v>
      </c>
      <c r="E43" s="8" t="s">
        <v>112</v>
      </c>
    </row>
    <row r="44" spans="1:5" ht="14.4" x14ac:dyDescent="0.3">
      <c r="A44" s="7">
        <v>7</v>
      </c>
      <c r="B44" s="9" t="s">
        <v>113</v>
      </c>
      <c r="C44" s="8" t="s">
        <v>114</v>
      </c>
      <c r="D44" s="7">
        <v>0</v>
      </c>
      <c r="E44" s="8" t="s">
        <v>115</v>
      </c>
    </row>
    <row r="45" spans="1:5" ht="14.4" x14ac:dyDescent="0.3">
      <c r="A45" s="7">
        <v>6</v>
      </c>
      <c r="B45" s="7" t="s">
        <v>116</v>
      </c>
      <c r="C45" s="8" t="s">
        <v>117</v>
      </c>
      <c r="D45" s="7">
        <v>0</v>
      </c>
      <c r="E45" s="8" t="s">
        <v>118</v>
      </c>
    </row>
    <row r="46" spans="1:5" ht="15.6" x14ac:dyDescent="0.3">
      <c r="A46" s="41" t="s">
        <v>119</v>
      </c>
      <c r="B46" s="40"/>
      <c r="C46" s="5"/>
      <c r="D46" s="4">
        <v>14</v>
      </c>
      <c r="E46" s="5"/>
    </row>
    <row r="47" spans="1:5" ht="14.4" x14ac:dyDescent="0.3">
      <c r="A47" s="38" t="s">
        <v>34</v>
      </c>
      <c r="B47" s="40"/>
      <c r="C47" s="6"/>
      <c r="D47" s="6"/>
      <c r="E47" s="6"/>
    </row>
    <row r="48" spans="1:5" ht="14.4" x14ac:dyDescent="0.3">
      <c r="A48" s="7">
        <v>1</v>
      </c>
      <c r="B48" s="7" t="s">
        <v>120</v>
      </c>
      <c r="C48" s="8" t="s">
        <v>121</v>
      </c>
      <c r="D48" s="7">
        <v>2</v>
      </c>
      <c r="E48" s="8" t="s">
        <v>122</v>
      </c>
    </row>
    <row r="49" spans="1:5" ht="14.4" x14ac:dyDescent="0.3">
      <c r="A49" s="7">
        <v>2</v>
      </c>
      <c r="B49" s="7" t="s">
        <v>123</v>
      </c>
      <c r="C49" s="8" t="s">
        <v>21</v>
      </c>
      <c r="D49" s="7">
        <v>2</v>
      </c>
      <c r="E49" s="8" t="s">
        <v>22</v>
      </c>
    </row>
    <row r="50" spans="1:5" ht="14.4" x14ac:dyDescent="0.3">
      <c r="A50" s="7">
        <v>3</v>
      </c>
      <c r="B50" s="7" t="s">
        <v>124</v>
      </c>
      <c r="C50" s="8" t="s">
        <v>125</v>
      </c>
      <c r="D50" s="7">
        <v>3</v>
      </c>
      <c r="E50" s="8" t="s">
        <v>126</v>
      </c>
    </row>
    <row r="51" spans="1:5" ht="14.4" x14ac:dyDescent="0.3">
      <c r="A51" s="7">
        <v>4</v>
      </c>
      <c r="B51" s="7" t="s">
        <v>127</v>
      </c>
      <c r="C51" s="8" t="s">
        <v>128</v>
      </c>
      <c r="D51" s="7">
        <v>3</v>
      </c>
      <c r="E51" s="8" t="s">
        <v>129</v>
      </c>
    </row>
    <row r="52" spans="1:5" ht="14.4" x14ac:dyDescent="0.3">
      <c r="A52" s="7">
        <v>5</v>
      </c>
      <c r="B52" s="7" t="s">
        <v>130</v>
      </c>
      <c r="C52" s="8" t="s">
        <v>5</v>
      </c>
      <c r="D52" s="7">
        <v>4</v>
      </c>
      <c r="E52" s="8" t="s">
        <v>6</v>
      </c>
    </row>
    <row r="53" spans="1:5" ht="14.4" x14ac:dyDescent="0.3">
      <c r="A53" s="7">
        <v>6</v>
      </c>
      <c r="B53" s="9" t="s">
        <v>131</v>
      </c>
      <c r="C53" s="8" t="s">
        <v>132</v>
      </c>
      <c r="D53" s="7">
        <v>0</v>
      </c>
      <c r="E53" s="8" t="s">
        <v>133</v>
      </c>
    </row>
    <row r="54" spans="1:5" ht="14.4" x14ac:dyDescent="0.3">
      <c r="A54" s="38" t="s">
        <v>134</v>
      </c>
      <c r="B54" s="39"/>
      <c r="C54" s="40"/>
      <c r="D54" s="6"/>
      <c r="E54" s="6"/>
    </row>
    <row r="55" spans="1:5" ht="14.4" x14ac:dyDescent="0.3">
      <c r="A55" s="7">
        <v>7</v>
      </c>
      <c r="B55" s="7"/>
      <c r="C55" s="8" t="s">
        <v>135</v>
      </c>
      <c r="D55" s="7">
        <v>3</v>
      </c>
      <c r="E55" s="8" t="s">
        <v>136</v>
      </c>
    </row>
    <row r="56" spans="1:5" ht="15.6" x14ac:dyDescent="0.3">
      <c r="A56" s="41" t="s">
        <v>137</v>
      </c>
      <c r="B56" s="40"/>
      <c r="C56" s="5"/>
      <c r="D56" s="4">
        <v>16</v>
      </c>
      <c r="E56" s="5"/>
    </row>
    <row r="57" spans="1:5" ht="14.4" x14ac:dyDescent="0.3">
      <c r="A57" s="38" t="s">
        <v>34</v>
      </c>
      <c r="B57" s="40"/>
      <c r="C57" s="6"/>
      <c r="D57" s="6"/>
      <c r="E57" s="6"/>
    </row>
    <row r="58" spans="1:5" ht="14.4" x14ac:dyDescent="0.3">
      <c r="A58" s="7">
        <v>1</v>
      </c>
      <c r="B58" s="7" t="s">
        <v>138</v>
      </c>
      <c r="C58" s="8" t="s">
        <v>23</v>
      </c>
      <c r="D58" s="7">
        <v>2</v>
      </c>
      <c r="E58" s="8" t="s">
        <v>139</v>
      </c>
    </row>
    <row r="59" spans="1:5" ht="14.4" x14ac:dyDescent="0.3">
      <c r="A59" s="7">
        <v>2</v>
      </c>
      <c r="B59" s="7" t="s">
        <v>140</v>
      </c>
      <c r="C59" s="8" t="s">
        <v>141</v>
      </c>
      <c r="D59" s="7">
        <v>3</v>
      </c>
      <c r="E59" s="8" t="s">
        <v>142</v>
      </c>
    </row>
    <row r="60" spans="1:5" ht="14.4" x14ac:dyDescent="0.3">
      <c r="A60" s="7">
        <v>3</v>
      </c>
      <c r="B60" s="7" t="s">
        <v>143</v>
      </c>
      <c r="C60" s="8" t="s">
        <v>144</v>
      </c>
      <c r="D60" s="7">
        <v>4</v>
      </c>
      <c r="E60" s="8" t="s">
        <v>145</v>
      </c>
    </row>
    <row r="61" spans="1:5" ht="14.4" x14ac:dyDescent="0.3">
      <c r="A61" s="7">
        <v>4</v>
      </c>
      <c r="B61" s="7" t="s">
        <v>146</v>
      </c>
      <c r="C61" s="8" t="s">
        <v>147</v>
      </c>
      <c r="D61" s="7">
        <v>3</v>
      </c>
      <c r="E61" s="8" t="s">
        <v>148</v>
      </c>
    </row>
    <row r="62" spans="1:5" ht="14.4" x14ac:dyDescent="0.3">
      <c r="A62" s="7">
        <v>5</v>
      </c>
      <c r="B62" s="7" t="s">
        <v>149</v>
      </c>
      <c r="C62" s="8" t="s">
        <v>7</v>
      </c>
      <c r="D62" s="7">
        <v>3</v>
      </c>
      <c r="E62" s="8" t="s">
        <v>8</v>
      </c>
    </row>
    <row r="63" spans="1:5" ht="14.4" x14ac:dyDescent="0.3">
      <c r="A63" s="7">
        <v>6</v>
      </c>
      <c r="B63" s="7" t="s">
        <v>150</v>
      </c>
      <c r="C63" s="8" t="s">
        <v>151</v>
      </c>
      <c r="D63" s="7">
        <v>0</v>
      </c>
      <c r="E63" s="8" t="s">
        <v>152</v>
      </c>
    </row>
    <row r="64" spans="1:5" ht="14.4" x14ac:dyDescent="0.3">
      <c r="A64" s="7">
        <v>7</v>
      </c>
      <c r="B64" s="7" t="s">
        <v>153</v>
      </c>
      <c r="C64" s="8" t="s">
        <v>154</v>
      </c>
      <c r="D64" s="7">
        <v>0</v>
      </c>
      <c r="E64" s="8" t="s">
        <v>155</v>
      </c>
    </row>
    <row r="65" spans="1:5" ht="14.4" x14ac:dyDescent="0.3">
      <c r="A65" s="38" t="s">
        <v>156</v>
      </c>
      <c r="B65" s="39"/>
      <c r="C65" s="40"/>
      <c r="D65" s="6"/>
      <c r="E65" s="6"/>
    </row>
    <row r="66" spans="1:5" ht="14.4" x14ac:dyDescent="0.3">
      <c r="A66" s="7">
        <v>7</v>
      </c>
      <c r="B66" s="7" t="s">
        <v>157</v>
      </c>
      <c r="C66" s="8" t="s">
        <v>158</v>
      </c>
      <c r="D66" s="7">
        <v>1</v>
      </c>
      <c r="E66" s="8" t="s">
        <v>159</v>
      </c>
    </row>
    <row r="67" spans="1:5" ht="14.4" x14ac:dyDescent="0.3">
      <c r="A67" s="7">
        <v>8</v>
      </c>
      <c r="B67" s="7" t="s">
        <v>160</v>
      </c>
      <c r="C67" s="8" t="s">
        <v>161</v>
      </c>
      <c r="D67" s="7">
        <v>1</v>
      </c>
      <c r="E67" s="8" t="s">
        <v>159</v>
      </c>
    </row>
    <row r="68" spans="1:5" ht="14.4" x14ac:dyDescent="0.3">
      <c r="A68" s="7">
        <v>9</v>
      </c>
      <c r="B68" s="7" t="s">
        <v>162</v>
      </c>
      <c r="C68" s="8" t="s">
        <v>163</v>
      </c>
      <c r="D68" s="7">
        <v>1</v>
      </c>
      <c r="E68" s="8" t="s">
        <v>159</v>
      </c>
    </row>
    <row r="69" spans="1:5" ht="15.6" x14ac:dyDescent="0.3">
      <c r="A69" s="41" t="s">
        <v>164</v>
      </c>
      <c r="B69" s="40"/>
      <c r="C69" s="5"/>
      <c r="D69" s="4">
        <v>15</v>
      </c>
      <c r="E69" s="5"/>
    </row>
    <row r="70" spans="1:5" ht="14.4" x14ac:dyDescent="0.3">
      <c r="A70" s="38" t="s">
        <v>34</v>
      </c>
      <c r="B70" s="40"/>
      <c r="C70" s="6"/>
      <c r="D70" s="6"/>
      <c r="E70" s="6"/>
    </row>
    <row r="71" spans="1:5" ht="14.4" x14ac:dyDescent="0.3">
      <c r="A71" s="7">
        <v>1</v>
      </c>
      <c r="B71" s="7" t="s">
        <v>165</v>
      </c>
      <c r="C71" s="8" t="s">
        <v>166</v>
      </c>
      <c r="D71" s="7">
        <v>2</v>
      </c>
      <c r="E71" s="8" t="s">
        <v>167</v>
      </c>
    </row>
    <row r="72" spans="1:5" ht="14.4" x14ac:dyDescent="0.3">
      <c r="A72" s="7">
        <v>2</v>
      </c>
      <c r="B72" s="7" t="s">
        <v>168</v>
      </c>
      <c r="C72" s="8" t="s">
        <v>169</v>
      </c>
      <c r="D72" s="7">
        <v>3</v>
      </c>
      <c r="E72" s="8" t="s">
        <v>170</v>
      </c>
    </row>
    <row r="73" spans="1:5" ht="14.4" x14ac:dyDescent="0.3">
      <c r="A73" s="7">
        <v>3</v>
      </c>
      <c r="B73" s="7" t="s">
        <v>171</v>
      </c>
      <c r="C73" s="8" t="s">
        <v>172</v>
      </c>
      <c r="D73" s="7">
        <v>3</v>
      </c>
      <c r="E73" s="8" t="s">
        <v>173</v>
      </c>
    </row>
    <row r="74" spans="1:5" ht="14.4" x14ac:dyDescent="0.3">
      <c r="A74" s="7">
        <v>4</v>
      </c>
      <c r="B74" s="7" t="s">
        <v>174</v>
      </c>
      <c r="C74" s="8" t="s">
        <v>175</v>
      </c>
      <c r="D74" s="7">
        <v>3</v>
      </c>
      <c r="E74" s="8" t="s">
        <v>176</v>
      </c>
    </row>
    <row r="75" spans="1:5" ht="14.4" x14ac:dyDescent="0.3">
      <c r="A75" s="7">
        <v>5</v>
      </c>
      <c r="B75" s="7" t="s">
        <v>177</v>
      </c>
      <c r="C75" s="8" t="s">
        <v>178</v>
      </c>
      <c r="D75" s="7">
        <v>0</v>
      </c>
      <c r="E75" s="8" t="s">
        <v>179</v>
      </c>
    </row>
    <row r="76" spans="1:5" ht="14.4" x14ac:dyDescent="0.3">
      <c r="A76" s="38" t="s">
        <v>134</v>
      </c>
      <c r="B76" s="39"/>
      <c r="C76" s="40"/>
      <c r="D76" s="6"/>
      <c r="E76" s="6"/>
    </row>
    <row r="77" spans="1:5" ht="14.4" x14ac:dyDescent="0.3">
      <c r="A77" s="7">
        <v>6</v>
      </c>
      <c r="B77" s="7"/>
      <c r="C77" s="8" t="s">
        <v>180</v>
      </c>
      <c r="D77" s="7">
        <v>3</v>
      </c>
      <c r="E77" s="8" t="s">
        <v>136</v>
      </c>
    </row>
    <row r="78" spans="1:5" ht="14.4" x14ac:dyDescent="0.3">
      <c r="A78" s="38" t="s">
        <v>181</v>
      </c>
      <c r="B78" s="39"/>
      <c r="C78" s="40"/>
      <c r="D78" s="6"/>
      <c r="E78" s="6"/>
    </row>
    <row r="79" spans="1:5" ht="14.4" x14ac:dyDescent="0.3">
      <c r="A79" s="7">
        <v>7</v>
      </c>
      <c r="B79" s="7" t="s">
        <v>182</v>
      </c>
      <c r="C79" s="8" t="s">
        <v>183</v>
      </c>
      <c r="D79" s="7">
        <v>1</v>
      </c>
      <c r="E79" s="8" t="s">
        <v>184</v>
      </c>
    </row>
    <row r="80" spans="1:5" ht="14.4" x14ac:dyDescent="0.3">
      <c r="A80" s="7">
        <v>8</v>
      </c>
      <c r="B80" s="7" t="s">
        <v>185</v>
      </c>
      <c r="C80" s="8" t="s">
        <v>186</v>
      </c>
      <c r="D80" s="7">
        <v>1</v>
      </c>
      <c r="E80" s="8" t="s">
        <v>184</v>
      </c>
    </row>
    <row r="81" spans="1:5" ht="14.4" x14ac:dyDescent="0.3">
      <c r="A81" s="7">
        <v>9</v>
      </c>
      <c r="B81" s="7" t="s">
        <v>187</v>
      </c>
      <c r="C81" s="8" t="s">
        <v>188</v>
      </c>
      <c r="D81" s="7">
        <v>1</v>
      </c>
      <c r="E81" s="8" t="s">
        <v>184</v>
      </c>
    </row>
    <row r="82" spans="1:5" ht="15.6" x14ac:dyDescent="0.3">
      <c r="A82" s="41" t="s">
        <v>189</v>
      </c>
      <c r="B82" s="40"/>
      <c r="C82" s="5"/>
      <c r="D82" s="4">
        <v>2</v>
      </c>
      <c r="E82" s="5"/>
    </row>
    <row r="83" spans="1:5" ht="14.4" x14ac:dyDescent="0.3">
      <c r="A83" s="38" t="s">
        <v>34</v>
      </c>
      <c r="B83" s="40"/>
      <c r="C83" s="6"/>
      <c r="D83" s="6"/>
      <c r="E83" s="6"/>
    </row>
    <row r="84" spans="1:5" ht="14.4" x14ac:dyDescent="0.3">
      <c r="A84" s="7">
        <v>1</v>
      </c>
      <c r="B84" s="7" t="s">
        <v>190</v>
      </c>
      <c r="C84" s="8" t="s">
        <v>191</v>
      </c>
      <c r="D84" s="7">
        <v>2</v>
      </c>
      <c r="E84" s="8" t="s">
        <v>192</v>
      </c>
    </row>
    <row r="85" spans="1:5" ht="15.6" x14ac:dyDescent="0.3">
      <c r="A85" s="41" t="s">
        <v>193</v>
      </c>
      <c r="B85" s="40"/>
      <c r="C85" s="5"/>
      <c r="D85" s="4">
        <v>14</v>
      </c>
      <c r="E85" s="5"/>
    </row>
    <row r="86" spans="1:5" ht="14.4" x14ac:dyDescent="0.3">
      <c r="A86" s="38" t="s">
        <v>34</v>
      </c>
      <c r="B86" s="40"/>
      <c r="C86" s="6"/>
      <c r="D86" s="6"/>
      <c r="E86" s="6"/>
    </row>
    <row r="87" spans="1:5" ht="14.4" x14ac:dyDescent="0.3">
      <c r="A87" s="7">
        <v>1</v>
      </c>
      <c r="B87" s="7" t="s">
        <v>194</v>
      </c>
      <c r="C87" s="8" t="s">
        <v>195</v>
      </c>
      <c r="D87" s="7">
        <v>2</v>
      </c>
      <c r="E87" s="8" t="s">
        <v>196</v>
      </c>
    </row>
    <row r="88" spans="1:5" ht="14.4" x14ac:dyDescent="0.3">
      <c r="A88" s="7">
        <v>2</v>
      </c>
      <c r="B88" s="7" t="s">
        <v>197</v>
      </c>
      <c r="C88" s="8" t="s">
        <v>198</v>
      </c>
      <c r="D88" s="7">
        <v>2</v>
      </c>
      <c r="E88" s="8" t="s">
        <v>199</v>
      </c>
    </row>
    <row r="89" spans="1:5" ht="14.4" x14ac:dyDescent="0.3">
      <c r="A89" s="7">
        <v>3</v>
      </c>
      <c r="B89" s="7" t="s">
        <v>200</v>
      </c>
      <c r="C89" s="8" t="s">
        <v>201</v>
      </c>
      <c r="D89" s="7">
        <v>3</v>
      </c>
      <c r="E89" s="8" t="s">
        <v>202</v>
      </c>
    </row>
    <row r="90" spans="1:5" ht="14.4" x14ac:dyDescent="0.3">
      <c r="A90" s="7">
        <v>4</v>
      </c>
      <c r="B90" s="7" t="s">
        <v>203</v>
      </c>
      <c r="C90" s="8" t="s">
        <v>204</v>
      </c>
      <c r="D90" s="7">
        <v>4</v>
      </c>
      <c r="E90" s="8" t="s">
        <v>205</v>
      </c>
    </row>
    <row r="91" spans="1:5" ht="14.4" x14ac:dyDescent="0.3">
      <c r="A91" s="7">
        <v>5</v>
      </c>
      <c r="B91" s="9" t="s">
        <v>206</v>
      </c>
      <c r="C91" s="8" t="s">
        <v>207</v>
      </c>
      <c r="D91" s="7">
        <v>0</v>
      </c>
      <c r="E91" s="8" t="s">
        <v>208</v>
      </c>
    </row>
    <row r="92" spans="1:5" ht="14.4" x14ac:dyDescent="0.3">
      <c r="A92" s="38" t="s">
        <v>209</v>
      </c>
      <c r="B92" s="39"/>
      <c r="C92" s="40"/>
      <c r="D92" s="6"/>
      <c r="E92" s="6"/>
    </row>
    <row r="93" spans="1:5" ht="14.4" x14ac:dyDescent="0.3">
      <c r="A93" s="7">
        <v>6</v>
      </c>
      <c r="B93" s="7" t="s">
        <v>210</v>
      </c>
      <c r="C93" s="8" t="s">
        <v>211</v>
      </c>
      <c r="D93" s="7">
        <v>3</v>
      </c>
      <c r="E93" s="8" t="s">
        <v>212</v>
      </c>
    </row>
    <row r="94" spans="1:5" ht="14.4" x14ac:dyDescent="0.3">
      <c r="A94" s="7">
        <v>7</v>
      </c>
      <c r="B94" s="7" t="s">
        <v>213</v>
      </c>
      <c r="C94" s="8" t="s">
        <v>214</v>
      </c>
      <c r="D94" s="7">
        <v>3</v>
      </c>
      <c r="E94" s="8" t="s">
        <v>215</v>
      </c>
    </row>
    <row r="95" spans="1:5" ht="14.4" x14ac:dyDescent="0.3">
      <c r="A95" s="7">
        <v>8</v>
      </c>
      <c r="B95" s="7" t="s">
        <v>216</v>
      </c>
      <c r="C95" s="8" t="s">
        <v>217</v>
      </c>
      <c r="D95" s="7">
        <v>3</v>
      </c>
      <c r="E95" s="8" t="s">
        <v>218</v>
      </c>
    </row>
    <row r="96" spans="1:5" ht="14.4" x14ac:dyDescent="0.3">
      <c r="A96" s="7">
        <v>9</v>
      </c>
      <c r="B96" s="7" t="s">
        <v>219</v>
      </c>
      <c r="C96" s="8" t="s">
        <v>220</v>
      </c>
      <c r="D96" s="7">
        <v>3</v>
      </c>
      <c r="E96" s="8" t="s">
        <v>221</v>
      </c>
    </row>
    <row r="97" spans="1:5" ht="14.4" x14ac:dyDescent="0.3">
      <c r="A97" s="7">
        <v>10</v>
      </c>
      <c r="B97" s="7" t="s">
        <v>222</v>
      </c>
      <c r="C97" s="8" t="s">
        <v>223</v>
      </c>
      <c r="D97" s="7">
        <v>3</v>
      </c>
      <c r="E97" s="8" t="s">
        <v>224</v>
      </c>
    </row>
    <row r="98" spans="1:5" ht="15.6" x14ac:dyDescent="0.3">
      <c r="A98" s="41" t="s">
        <v>225</v>
      </c>
      <c r="B98" s="40"/>
      <c r="C98" s="5"/>
      <c r="D98" s="4">
        <v>15</v>
      </c>
      <c r="E98" s="5"/>
    </row>
    <row r="99" spans="1:5" ht="14.4" x14ac:dyDescent="0.3">
      <c r="A99" s="38" t="s">
        <v>34</v>
      </c>
      <c r="B99" s="40"/>
      <c r="C99" s="6"/>
      <c r="D99" s="6"/>
      <c r="E99" s="6"/>
    </row>
    <row r="100" spans="1:5" ht="14.4" x14ac:dyDescent="0.3">
      <c r="A100" s="7">
        <v>1</v>
      </c>
      <c r="B100" s="7" t="s">
        <v>226</v>
      </c>
      <c r="C100" s="8" t="s">
        <v>17</v>
      </c>
      <c r="D100" s="7">
        <v>2</v>
      </c>
      <c r="E100" s="8" t="s">
        <v>18</v>
      </c>
    </row>
    <row r="101" spans="1:5" ht="14.4" x14ac:dyDescent="0.3">
      <c r="A101" s="7">
        <v>2</v>
      </c>
      <c r="B101" s="7" t="s">
        <v>227</v>
      </c>
      <c r="C101" s="8" t="s">
        <v>228</v>
      </c>
      <c r="D101" s="7">
        <v>4</v>
      </c>
      <c r="E101" s="8" t="s">
        <v>229</v>
      </c>
    </row>
    <row r="102" spans="1:5" ht="14.4" x14ac:dyDescent="0.3">
      <c r="A102" s="7">
        <v>3</v>
      </c>
      <c r="B102" s="9" t="s">
        <v>230</v>
      </c>
      <c r="C102" s="8" t="s">
        <v>231</v>
      </c>
      <c r="D102" s="7">
        <v>0</v>
      </c>
      <c r="E102" s="8" t="s">
        <v>232</v>
      </c>
    </row>
    <row r="103" spans="1:5" ht="14.4" x14ac:dyDescent="0.3">
      <c r="A103" s="38" t="s">
        <v>134</v>
      </c>
      <c r="B103" s="39"/>
      <c r="C103" s="40"/>
      <c r="D103" s="6"/>
      <c r="E103" s="6"/>
    </row>
    <row r="104" spans="1:5" ht="14.4" x14ac:dyDescent="0.3">
      <c r="A104" s="7">
        <v>4</v>
      </c>
      <c r="B104" s="7"/>
      <c r="C104" s="8" t="s">
        <v>233</v>
      </c>
      <c r="D104" s="7">
        <v>3</v>
      </c>
      <c r="E104" s="8" t="s">
        <v>136</v>
      </c>
    </row>
    <row r="105" spans="1:5" ht="14.4" x14ac:dyDescent="0.3">
      <c r="A105" s="38" t="s">
        <v>234</v>
      </c>
      <c r="B105" s="39"/>
      <c r="C105" s="40"/>
      <c r="D105" s="6"/>
      <c r="E105" s="6"/>
    </row>
    <row r="106" spans="1:5" ht="14.4" x14ac:dyDescent="0.3">
      <c r="A106" s="7">
        <v>5</v>
      </c>
      <c r="B106" s="7" t="s">
        <v>235</v>
      </c>
      <c r="C106" s="8" t="s">
        <v>236</v>
      </c>
      <c r="D106" s="7">
        <v>3</v>
      </c>
      <c r="E106" s="8" t="s">
        <v>237</v>
      </c>
    </row>
    <row r="107" spans="1:5" ht="14.4" x14ac:dyDescent="0.3">
      <c r="A107" s="7">
        <v>6</v>
      </c>
      <c r="B107" s="7" t="s">
        <v>238</v>
      </c>
      <c r="C107" s="8" t="s">
        <v>239</v>
      </c>
      <c r="D107" s="7">
        <v>3</v>
      </c>
      <c r="E107" s="8" t="s">
        <v>240</v>
      </c>
    </row>
    <row r="108" spans="1:5" ht="14.4" x14ac:dyDescent="0.3">
      <c r="A108" s="7">
        <v>7</v>
      </c>
      <c r="B108" s="7" t="s">
        <v>241</v>
      </c>
      <c r="C108" s="8" t="s">
        <v>242</v>
      </c>
      <c r="D108" s="7">
        <v>3</v>
      </c>
      <c r="E108" s="8" t="s">
        <v>243</v>
      </c>
    </row>
    <row r="109" spans="1:5" ht="14.4" x14ac:dyDescent="0.3">
      <c r="A109" s="7">
        <v>8</v>
      </c>
      <c r="B109" s="7" t="s">
        <v>244</v>
      </c>
      <c r="C109" s="8" t="s">
        <v>245</v>
      </c>
      <c r="D109" s="7">
        <v>3</v>
      </c>
      <c r="E109" s="8" t="s">
        <v>246</v>
      </c>
    </row>
    <row r="110" spans="1:5" ht="14.4" x14ac:dyDescent="0.3">
      <c r="A110" s="7">
        <v>9</v>
      </c>
      <c r="B110" s="7" t="s">
        <v>247</v>
      </c>
      <c r="C110" s="8" t="s">
        <v>248</v>
      </c>
      <c r="D110" s="7">
        <v>3</v>
      </c>
      <c r="E110" s="8" t="s">
        <v>249</v>
      </c>
    </row>
    <row r="111" spans="1:5" ht="14.4" x14ac:dyDescent="0.3">
      <c r="A111" s="7">
        <v>10</v>
      </c>
      <c r="B111" s="7" t="s">
        <v>250</v>
      </c>
      <c r="C111" s="8" t="s">
        <v>251</v>
      </c>
      <c r="D111" s="7">
        <v>3</v>
      </c>
      <c r="E111" s="8" t="s">
        <v>252</v>
      </c>
    </row>
    <row r="112" spans="1:5" ht="14.4" x14ac:dyDescent="0.3">
      <c r="A112" s="7">
        <v>11</v>
      </c>
      <c r="B112" s="7" t="s">
        <v>253</v>
      </c>
      <c r="C112" s="8" t="s">
        <v>254</v>
      </c>
      <c r="D112" s="7">
        <v>3</v>
      </c>
      <c r="E112" s="8" t="s">
        <v>255</v>
      </c>
    </row>
    <row r="113" spans="1:5" ht="14.4" x14ac:dyDescent="0.3">
      <c r="A113" s="7">
        <v>12</v>
      </c>
      <c r="B113" s="7" t="s">
        <v>256</v>
      </c>
      <c r="C113" s="8" t="s">
        <v>257</v>
      </c>
      <c r="D113" s="7">
        <v>3</v>
      </c>
      <c r="E113" s="8" t="s">
        <v>258</v>
      </c>
    </row>
    <row r="114" spans="1:5" ht="14.4" x14ac:dyDescent="0.3">
      <c r="A114" s="7">
        <v>13</v>
      </c>
      <c r="B114" s="7" t="s">
        <v>259</v>
      </c>
      <c r="C114" s="8" t="s">
        <v>260</v>
      </c>
      <c r="D114" s="7">
        <v>3</v>
      </c>
      <c r="E114" s="8" t="s">
        <v>261</v>
      </c>
    </row>
    <row r="115" spans="1:5" ht="14.4" x14ac:dyDescent="0.3">
      <c r="A115" s="7">
        <v>14</v>
      </c>
      <c r="B115" s="7" t="s">
        <v>262</v>
      </c>
      <c r="C115" s="8" t="s">
        <v>263</v>
      </c>
      <c r="D115" s="7">
        <v>3</v>
      </c>
      <c r="E115" s="8" t="s">
        <v>264</v>
      </c>
    </row>
    <row r="116" spans="1:5" ht="14.4" x14ac:dyDescent="0.3">
      <c r="A116" s="7">
        <v>15</v>
      </c>
      <c r="B116" s="7" t="s">
        <v>265</v>
      </c>
      <c r="C116" s="8" t="s">
        <v>266</v>
      </c>
      <c r="D116" s="7">
        <v>3</v>
      </c>
      <c r="E116" s="8" t="s">
        <v>267</v>
      </c>
    </row>
    <row r="117" spans="1:5" ht="14.4" x14ac:dyDescent="0.3">
      <c r="A117" s="7">
        <v>16</v>
      </c>
      <c r="B117" s="7" t="s">
        <v>268</v>
      </c>
      <c r="C117" s="8" t="s">
        <v>269</v>
      </c>
      <c r="D117" s="7">
        <v>3</v>
      </c>
      <c r="E117" s="8" t="s">
        <v>270</v>
      </c>
    </row>
    <row r="118" spans="1:5" ht="14.4" x14ac:dyDescent="0.3">
      <c r="A118" s="7">
        <v>17</v>
      </c>
      <c r="B118" s="7" t="s">
        <v>271</v>
      </c>
      <c r="C118" s="8" t="s">
        <v>272</v>
      </c>
      <c r="D118" s="7">
        <v>3</v>
      </c>
      <c r="E118" s="8" t="s">
        <v>273</v>
      </c>
    </row>
    <row r="119" spans="1:5" ht="14.4" x14ac:dyDescent="0.3">
      <c r="A119" s="7">
        <v>18</v>
      </c>
      <c r="B119" s="7" t="s">
        <v>274</v>
      </c>
      <c r="C119" s="8" t="s">
        <v>275</v>
      </c>
      <c r="D119" s="7">
        <v>3</v>
      </c>
      <c r="E119" s="8" t="s">
        <v>276</v>
      </c>
    </row>
    <row r="120" spans="1:5" ht="14.4" x14ac:dyDescent="0.3">
      <c r="A120" s="7">
        <v>19</v>
      </c>
      <c r="B120" s="7" t="s">
        <v>277</v>
      </c>
      <c r="C120" s="8" t="s">
        <v>278</v>
      </c>
      <c r="D120" s="7">
        <v>3</v>
      </c>
      <c r="E120" s="8" t="s">
        <v>279</v>
      </c>
    </row>
    <row r="121" spans="1:5" ht="14.4" x14ac:dyDescent="0.3">
      <c r="A121" s="7">
        <v>20</v>
      </c>
      <c r="B121" s="7" t="s">
        <v>280</v>
      </c>
      <c r="C121" s="8" t="s">
        <v>281</v>
      </c>
      <c r="D121" s="7">
        <v>3</v>
      </c>
      <c r="E121" s="8" t="s">
        <v>282</v>
      </c>
    </row>
    <row r="122" spans="1:5" ht="14.4" x14ac:dyDescent="0.3">
      <c r="A122" s="7">
        <v>21</v>
      </c>
      <c r="B122" s="7" t="s">
        <v>283</v>
      </c>
      <c r="C122" s="8" t="s">
        <v>284</v>
      </c>
      <c r="D122" s="7">
        <v>3</v>
      </c>
      <c r="E122" s="8" t="s">
        <v>285</v>
      </c>
    </row>
    <row r="123" spans="1:5" ht="14.4" x14ac:dyDescent="0.3">
      <c r="A123" s="7">
        <v>22</v>
      </c>
      <c r="B123" s="7" t="s">
        <v>286</v>
      </c>
      <c r="C123" s="8" t="s">
        <v>287</v>
      </c>
      <c r="D123" s="7">
        <v>3</v>
      </c>
      <c r="E123" s="8" t="s">
        <v>288</v>
      </c>
    </row>
    <row r="124" spans="1:5" ht="14.4" x14ac:dyDescent="0.3">
      <c r="A124" s="7">
        <v>23</v>
      </c>
      <c r="B124" s="7" t="s">
        <v>289</v>
      </c>
      <c r="C124" s="8" t="s">
        <v>290</v>
      </c>
      <c r="D124" s="7">
        <v>3</v>
      </c>
      <c r="E124" s="8" t="s">
        <v>291</v>
      </c>
    </row>
    <row r="125" spans="1:5" ht="14.4" x14ac:dyDescent="0.3">
      <c r="A125" s="7">
        <v>24</v>
      </c>
      <c r="B125" s="7" t="s">
        <v>292</v>
      </c>
      <c r="C125" s="8" t="s">
        <v>293</v>
      </c>
      <c r="D125" s="7">
        <v>3</v>
      </c>
      <c r="E125" s="8" t="s">
        <v>294</v>
      </c>
    </row>
    <row r="126" spans="1:5" ht="14.4" x14ac:dyDescent="0.3">
      <c r="A126" s="7">
        <v>25</v>
      </c>
      <c r="B126" s="7" t="s">
        <v>295</v>
      </c>
      <c r="C126" s="8" t="s">
        <v>296</v>
      </c>
      <c r="D126" s="7">
        <v>3</v>
      </c>
      <c r="E126" s="8" t="s">
        <v>297</v>
      </c>
    </row>
    <row r="127" spans="1:5" ht="14.4" x14ac:dyDescent="0.3">
      <c r="A127" s="7">
        <v>26</v>
      </c>
      <c r="B127" s="7" t="s">
        <v>298</v>
      </c>
      <c r="C127" s="8" t="s">
        <v>299</v>
      </c>
      <c r="D127" s="7">
        <v>3</v>
      </c>
      <c r="E127" s="8" t="s">
        <v>300</v>
      </c>
    </row>
    <row r="128" spans="1:5" ht="14.4" x14ac:dyDescent="0.3">
      <c r="A128" s="7">
        <v>27</v>
      </c>
      <c r="B128" s="7" t="s">
        <v>301</v>
      </c>
      <c r="C128" s="8" t="s">
        <v>302</v>
      </c>
      <c r="D128" s="7">
        <v>3</v>
      </c>
      <c r="E128" s="8" t="s">
        <v>303</v>
      </c>
    </row>
    <row r="129" spans="1:5" ht="14.4" x14ac:dyDescent="0.3">
      <c r="A129" s="7">
        <v>28</v>
      </c>
      <c r="B129" s="7" t="s">
        <v>304</v>
      </c>
      <c r="C129" s="8" t="s">
        <v>305</v>
      </c>
      <c r="D129" s="7">
        <v>3</v>
      </c>
      <c r="E129" s="8" t="s">
        <v>306</v>
      </c>
    </row>
    <row r="130" spans="1:5" ht="14.4" x14ac:dyDescent="0.3">
      <c r="A130" s="7">
        <v>29</v>
      </c>
      <c r="B130" s="7" t="s">
        <v>307</v>
      </c>
      <c r="C130" s="8" t="s">
        <v>308</v>
      </c>
      <c r="D130" s="7">
        <v>3</v>
      </c>
      <c r="E130" s="8" t="s">
        <v>309</v>
      </c>
    </row>
    <row r="131" spans="1:5" ht="14.4" x14ac:dyDescent="0.3">
      <c r="A131" s="7">
        <v>30</v>
      </c>
      <c r="B131" s="7" t="s">
        <v>310</v>
      </c>
      <c r="C131" s="8" t="s">
        <v>311</v>
      </c>
      <c r="D131" s="7">
        <v>3</v>
      </c>
      <c r="E131" s="8" t="s">
        <v>312</v>
      </c>
    </row>
    <row r="132" spans="1:5" ht="14.4" x14ac:dyDescent="0.3">
      <c r="A132" s="7">
        <v>31</v>
      </c>
      <c r="B132" s="7" t="s">
        <v>313</v>
      </c>
      <c r="C132" s="8" t="s">
        <v>314</v>
      </c>
      <c r="D132" s="7">
        <v>3</v>
      </c>
      <c r="E132" s="8" t="s">
        <v>315</v>
      </c>
    </row>
    <row r="133" spans="1:5" ht="14.4" x14ac:dyDescent="0.3">
      <c r="A133" s="7">
        <v>32</v>
      </c>
      <c r="B133" s="7" t="s">
        <v>316</v>
      </c>
      <c r="C133" s="8" t="s">
        <v>317</v>
      </c>
      <c r="D133" s="7">
        <v>3</v>
      </c>
      <c r="E133" s="8" t="s">
        <v>318</v>
      </c>
    </row>
    <row r="134" spans="1:5" ht="14.4" x14ac:dyDescent="0.3">
      <c r="A134" s="7">
        <v>33</v>
      </c>
      <c r="B134" s="7" t="s">
        <v>319</v>
      </c>
      <c r="C134" s="8" t="s">
        <v>320</v>
      </c>
      <c r="D134" s="7">
        <v>3</v>
      </c>
      <c r="E134" s="8" t="s">
        <v>321</v>
      </c>
    </row>
  </sheetData>
  <mergeCells count="30">
    <mergeCell ref="A1:C1"/>
    <mergeCell ref="A2:E2"/>
    <mergeCell ref="A4:C4"/>
    <mergeCell ref="A5:C5"/>
    <mergeCell ref="A37:B37"/>
    <mergeCell ref="A46:B46"/>
    <mergeCell ref="A7:B7"/>
    <mergeCell ref="A8:B8"/>
    <mergeCell ref="A17:C17"/>
    <mergeCell ref="A26:B26"/>
    <mergeCell ref="A92:C92"/>
    <mergeCell ref="A103:C103"/>
    <mergeCell ref="A98:B98"/>
    <mergeCell ref="A99:B99"/>
    <mergeCell ref="A27:B27"/>
    <mergeCell ref="A36:B36"/>
    <mergeCell ref="A47:B47"/>
    <mergeCell ref="A54:C54"/>
    <mergeCell ref="A56:B56"/>
    <mergeCell ref="A57:B57"/>
    <mergeCell ref="A65:C65"/>
    <mergeCell ref="A69:B69"/>
    <mergeCell ref="A70:B70"/>
    <mergeCell ref="A76:C76"/>
    <mergeCell ref="A78:C78"/>
    <mergeCell ref="A105:C105"/>
    <mergeCell ref="A82:B82"/>
    <mergeCell ref="A83:B83"/>
    <mergeCell ref="A85:B85"/>
    <mergeCell ref="A86:B86"/>
  </mergeCells>
  <phoneticPr fontId="2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37" workbookViewId="0">
      <selection activeCell="D76" sqref="D76"/>
    </sheetView>
  </sheetViews>
  <sheetFormatPr defaultColWidth="9.109375" defaultRowHeight="13.2" x14ac:dyDescent="0.25"/>
  <cols>
    <col min="1" max="1" width="7.6640625" style="10" customWidth="1"/>
    <col min="2" max="2" width="9.6640625" style="10" customWidth="1"/>
    <col min="3" max="3" width="32.88671875" style="10" bestFit="1" customWidth="1"/>
    <col min="4" max="4" width="8.44140625" style="10" customWidth="1"/>
    <col min="5" max="5" width="13.44140625" style="10" bestFit="1" customWidth="1"/>
    <col min="6" max="6" width="13.6640625" style="10" bestFit="1" customWidth="1"/>
    <col min="7" max="7" width="59" style="10" bestFit="1" customWidth="1"/>
    <col min="8" max="16384" width="9.109375" style="10"/>
  </cols>
  <sheetData>
    <row r="1" spans="1:7" ht="16.8" x14ac:dyDescent="0.3">
      <c r="A1" s="12" t="s">
        <v>322</v>
      </c>
      <c r="B1" s="13"/>
      <c r="C1" s="13"/>
    </row>
    <row r="2" spans="1:7" ht="15.6" x14ac:dyDescent="0.3">
      <c r="A2" s="11" t="s">
        <v>28</v>
      </c>
      <c r="B2" s="11" t="s">
        <v>29</v>
      </c>
      <c r="C2" s="11" t="s">
        <v>30</v>
      </c>
      <c r="D2" s="11" t="s">
        <v>31</v>
      </c>
      <c r="E2" s="11" t="s">
        <v>323</v>
      </c>
      <c r="F2" s="11" t="s">
        <v>330</v>
      </c>
      <c r="G2" s="10" t="s">
        <v>393</v>
      </c>
    </row>
    <row r="3" spans="1:7" ht="13.8" x14ac:dyDescent="0.25">
      <c r="A3" s="10">
        <v>1</v>
      </c>
      <c r="B3" s="14" t="s">
        <v>35</v>
      </c>
      <c r="C3" s="14" t="s">
        <v>36</v>
      </c>
      <c r="D3" s="19">
        <v>2</v>
      </c>
      <c r="E3" s="10" t="s">
        <v>325</v>
      </c>
      <c r="F3" s="10">
        <v>1</v>
      </c>
      <c r="G3" s="10" t="s">
        <v>341</v>
      </c>
    </row>
    <row r="4" spans="1:7" ht="13.8" x14ac:dyDescent="0.25">
      <c r="A4" s="10">
        <v>2</v>
      </c>
      <c r="B4" s="14" t="s">
        <v>38</v>
      </c>
      <c r="C4" s="14" t="s">
        <v>39</v>
      </c>
      <c r="D4" s="19">
        <v>0</v>
      </c>
      <c r="E4" s="10" t="s">
        <v>325</v>
      </c>
      <c r="F4" s="10">
        <v>1</v>
      </c>
      <c r="G4" s="10" t="s">
        <v>342</v>
      </c>
    </row>
    <row r="5" spans="1:7" ht="13.8" x14ac:dyDescent="0.25">
      <c r="A5" s="10">
        <v>3</v>
      </c>
      <c r="B5" s="14" t="s">
        <v>41</v>
      </c>
      <c r="C5" s="14" t="s">
        <v>42</v>
      </c>
      <c r="D5" s="19">
        <v>4</v>
      </c>
      <c r="E5" s="10" t="s">
        <v>325</v>
      </c>
      <c r="F5" s="10">
        <v>1</v>
      </c>
      <c r="G5" s="10" t="s">
        <v>333</v>
      </c>
    </row>
    <row r="6" spans="1:7" ht="13.8" x14ac:dyDescent="0.25">
      <c r="A6" s="10">
        <v>4</v>
      </c>
      <c r="B6" s="14" t="s">
        <v>43</v>
      </c>
      <c r="C6" s="14" t="s">
        <v>9</v>
      </c>
      <c r="D6" s="19">
        <v>4</v>
      </c>
      <c r="E6" s="10" t="s">
        <v>325</v>
      </c>
      <c r="F6" s="10">
        <v>1</v>
      </c>
      <c r="G6" s="10" t="s">
        <v>334</v>
      </c>
    </row>
    <row r="7" spans="1:7" ht="13.8" x14ac:dyDescent="0.25">
      <c r="A7" s="10">
        <v>5</v>
      </c>
      <c r="B7" s="14" t="s">
        <v>44</v>
      </c>
      <c r="C7" s="14" t="s">
        <v>45</v>
      </c>
      <c r="D7" s="19">
        <v>3</v>
      </c>
      <c r="E7" s="10" t="s">
        <v>325</v>
      </c>
      <c r="F7" s="10">
        <v>1</v>
      </c>
      <c r="G7" s="10" t="s">
        <v>337</v>
      </c>
    </row>
    <row r="8" spans="1:7" ht="13.8" x14ac:dyDescent="0.25">
      <c r="A8" s="10">
        <v>6</v>
      </c>
      <c r="B8" s="14" t="s">
        <v>47</v>
      </c>
      <c r="C8" s="14" t="s">
        <v>48</v>
      </c>
      <c r="D8" s="19">
        <v>3</v>
      </c>
      <c r="E8" s="10" t="s">
        <v>325</v>
      </c>
      <c r="F8" s="10">
        <v>1</v>
      </c>
      <c r="G8" s="10" t="s">
        <v>347</v>
      </c>
    </row>
    <row r="9" spans="1:7" ht="13.8" x14ac:dyDescent="0.25">
      <c r="A9" s="10">
        <v>7</v>
      </c>
      <c r="B9" s="14" t="s">
        <v>50</v>
      </c>
      <c r="C9" s="14" t="s">
        <v>51</v>
      </c>
      <c r="D9" s="19">
        <v>0</v>
      </c>
      <c r="E9" s="10" t="s">
        <v>325</v>
      </c>
      <c r="F9" s="10">
        <v>1</v>
      </c>
      <c r="G9" s="10" t="s">
        <v>341</v>
      </c>
    </row>
    <row r="10" spans="1:7" ht="13.8" x14ac:dyDescent="0.25">
      <c r="A10" s="10">
        <v>8</v>
      </c>
      <c r="B10" s="14" t="s">
        <v>53</v>
      </c>
      <c r="C10" s="14" t="s">
        <v>54</v>
      </c>
      <c r="D10" s="19">
        <v>0</v>
      </c>
      <c r="E10" s="10" t="s">
        <v>325</v>
      </c>
      <c r="F10" s="10">
        <v>1</v>
      </c>
      <c r="G10" s="10" t="s">
        <v>335</v>
      </c>
    </row>
    <row r="11" spans="1:7" ht="13.8" x14ac:dyDescent="0.25">
      <c r="A11" s="10">
        <v>9</v>
      </c>
      <c r="B11" s="14" t="s">
        <v>57</v>
      </c>
      <c r="C11" s="14" t="s">
        <v>58</v>
      </c>
      <c r="D11" s="19">
        <v>0</v>
      </c>
      <c r="E11" s="10" t="s">
        <v>324</v>
      </c>
      <c r="F11" s="10">
        <v>1</v>
      </c>
      <c r="G11" s="10" t="s">
        <v>335</v>
      </c>
    </row>
    <row r="12" spans="1:7" ht="13.8" x14ac:dyDescent="0.25">
      <c r="A12" s="10">
        <v>10</v>
      </c>
      <c r="B12" s="14" t="s">
        <v>60</v>
      </c>
      <c r="C12" s="14" t="s">
        <v>61</v>
      </c>
      <c r="D12" s="19">
        <v>0</v>
      </c>
      <c r="E12" s="10" t="s">
        <v>324</v>
      </c>
      <c r="F12" s="10">
        <v>1</v>
      </c>
      <c r="G12" s="10" t="s">
        <v>335</v>
      </c>
    </row>
    <row r="13" spans="1:7" ht="13.8" x14ac:dyDescent="0.25">
      <c r="A13" s="10">
        <v>11</v>
      </c>
      <c r="B13" s="14" t="s">
        <v>63</v>
      </c>
      <c r="C13" s="14" t="s">
        <v>64</v>
      </c>
      <c r="D13" s="19">
        <v>0</v>
      </c>
      <c r="E13" s="10" t="s">
        <v>324</v>
      </c>
      <c r="F13" s="10">
        <v>1</v>
      </c>
      <c r="G13" s="10" t="s">
        <v>335</v>
      </c>
    </row>
    <row r="14" spans="1:7" ht="13.8" x14ac:dyDescent="0.25">
      <c r="A14" s="10">
        <v>12</v>
      </c>
      <c r="B14" s="14" t="s">
        <v>66</v>
      </c>
      <c r="C14" s="14" t="s">
        <v>67</v>
      </c>
      <c r="D14" s="19">
        <v>0</v>
      </c>
      <c r="E14" s="10" t="s">
        <v>324</v>
      </c>
      <c r="F14" s="10">
        <v>1</v>
      </c>
      <c r="G14" s="10" t="s">
        <v>335</v>
      </c>
    </row>
    <row r="15" spans="1:7" ht="13.8" x14ac:dyDescent="0.25">
      <c r="A15" s="10">
        <v>13</v>
      </c>
      <c r="B15" s="14" t="s">
        <v>69</v>
      </c>
      <c r="C15" s="14" t="s">
        <v>70</v>
      </c>
      <c r="D15" s="19">
        <v>0</v>
      </c>
      <c r="E15" s="10" t="s">
        <v>324</v>
      </c>
      <c r="F15" s="10">
        <v>1</v>
      </c>
      <c r="G15" s="10" t="s">
        <v>335</v>
      </c>
    </row>
    <row r="16" spans="1:7" ht="13.8" x14ac:dyDescent="0.25">
      <c r="A16" s="10">
        <v>14</v>
      </c>
      <c r="B16" s="14" t="s">
        <v>72</v>
      </c>
      <c r="C16" s="14" t="s">
        <v>73</v>
      </c>
      <c r="D16" s="19">
        <v>0</v>
      </c>
      <c r="E16" s="10" t="s">
        <v>324</v>
      </c>
      <c r="F16" s="10">
        <v>1</v>
      </c>
      <c r="G16" s="10" t="s">
        <v>335</v>
      </c>
    </row>
    <row r="17" spans="1:7" ht="13.8" x14ac:dyDescent="0.25">
      <c r="A17" s="10">
        <v>15</v>
      </c>
      <c r="B17" s="14" t="s">
        <v>75</v>
      </c>
      <c r="C17" s="14" t="s">
        <v>76</v>
      </c>
      <c r="D17" s="19">
        <v>0</v>
      </c>
      <c r="E17" s="10" t="s">
        <v>324</v>
      </c>
      <c r="F17" s="10">
        <v>1</v>
      </c>
      <c r="G17" s="10" t="s">
        <v>335</v>
      </c>
    </row>
    <row r="18" spans="1:7" ht="13.8" x14ac:dyDescent="0.25">
      <c r="A18" s="10">
        <v>16</v>
      </c>
      <c r="B18" s="14" t="s">
        <v>78</v>
      </c>
      <c r="C18" s="14" t="s">
        <v>79</v>
      </c>
      <c r="D18" s="19">
        <v>0</v>
      </c>
      <c r="E18" s="10" t="s">
        <v>324</v>
      </c>
      <c r="F18" s="10">
        <v>1</v>
      </c>
      <c r="G18" s="10" t="s">
        <v>335</v>
      </c>
    </row>
    <row r="19" spans="1:7" ht="13.8" x14ac:dyDescent="0.25">
      <c r="A19" s="10">
        <v>17</v>
      </c>
      <c r="B19" s="14" t="s">
        <v>82</v>
      </c>
      <c r="C19" s="14" t="s">
        <v>83</v>
      </c>
      <c r="D19" s="19">
        <v>2</v>
      </c>
      <c r="E19" s="10" t="s">
        <v>325</v>
      </c>
      <c r="F19" s="10">
        <v>2</v>
      </c>
      <c r="G19" s="10" t="s">
        <v>341</v>
      </c>
    </row>
    <row r="20" spans="1:7" ht="13.8" x14ac:dyDescent="0.25">
      <c r="A20" s="10">
        <v>18</v>
      </c>
      <c r="B20" s="14" t="s">
        <v>85</v>
      </c>
      <c r="C20" s="14" t="s">
        <v>86</v>
      </c>
      <c r="D20" s="19">
        <v>0</v>
      </c>
      <c r="E20" s="10" t="s">
        <v>325</v>
      </c>
      <c r="F20" s="10">
        <v>2</v>
      </c>
      <c r="G20" s="10" t="s">
        <v>342</v>
      </c>
    </row>
    <row r="21" spans="1:7" ht="13.8" x14ac:dyDescent="0.25">
      <c r="A21" s="10">
        <v>19</v>
      </c>
      <c r="B21" s="14" t="s">
        <v>88</v>
      </c>
      <c r="C21" s="14" t="s">
        <v>1</v>
      </c>
      <c r="D21" s="19">
        <v>4</v>
      </c>
      <c r="E21" s="10" t="s">
        <v>325</v>
      </c>
      <c r="F21" s="10">
        <v>2</v>
      </c>
      <c r="G21" s="10" t="s">
        <v>333</v>
      </c>
    </row>
    <row r="22" spans="1:7" ht="13.8" x14ac:dyDescent="0.25">
      <c r="A22" s="10">
        <v>20</v>
      </c>
      <c r="B22" s="14" t="s">
        <v>89</v>
      </c>
      <c r="C22" s="14" t="s">
        <v>3</v>
      </c>
      <c r="D22" s="19">
        <v>3</v>
      </c>
      <c r="E22" s="10" t="s">
        <v>325</v>
      </c>
      <c r="F22" s="10">
        <v>2</v>
      </c>
      <c r="G22" s="10" t="s">
        <v>333</v>
      </c>
    </row>
    <row r="23" spans="1:7" ht="13.8" x14ac:dyDescent="0.25">
      <c r="A23" s="10">
        <v>21</v>
      </c>
      <c r="B23" s="14" t="s">
        <v>90</v>
      </c>
      <c r="C23" s="14" t="s">
        <v>13</v>
      </c>
      <c r="D23" s="19">
        <v>4</v>
      </c>
      <c r="E23" s="10" t="s">
        <v>325</v>
      </c>
      <c r="F23" s="10">
        <v>2</v>
      </c>
      <c r="G23" s="10" t="s">
        <v>336</v>
      </c>
    </row>
    <row r="24" spans="1:7" ht="13.8" x14ac:dyDescent="0.25">
      <c r="A24" s="10">
        <v>22</v>
      </c>
      <c r="B24" s="14" t="s">
        <v>91</v>
      </c>
      <c r="C24" s="14" t="s">
        <v>92</v>
      </c>
      <c r="D24" s="19">
        <v>3</v>
      </c>
      <c r="E24" s="10" t="s">
        <v>325</v>
      </c>
      <c r="F24" s="10">
        <v>2</v>
      </c>
      <c r="G24" s="10" t="s">
        <v>347</v>
      </c>
    </row>
    <row r="25" spans="1:7" ht="13.8" x14ac:dyDescent="0.25">
      <c r="A25" s="10">
        <v>23</v>
      </c>
      <c r="B25" s="14" t="s">
        <v>94</v>
      </c>
      <c r="C25" s="14" t="s">
        <v>11</v>
      </c>
      <c r="D25" s="19">
        <v>1</v>
      </c>
      <c r="E25" s="10" t="s">
        <v>325</v>
      </c>
      <c r="F25" s="10">
        <v>2</v>
      </c>
      <c r="G25" s="10" t="s">
        <v>334</v>
      </c>
    </row>
    <row r="26" spans="1:7" ht="13.8" x14ac:dyDescent="0.25">
      <c r="A26" s="10">
        <v>24</v>
      </c>
      <c r="B26" s="15" t="s">
        <v>95</v>
      </c>
      <c r="C26" s="14" t="s">
        <v>96</v>
      </c>
      <c r="D26" s="19">
        <v>0</v>
      </c>
      <c r="E26" s="10" t="s">
        <v>325</v>
      </c>
      <c r="F26" s="10">
        <v>2</v>
      </c>
      <c r="G26" s="10" t="s">
        <v>341</v>
      </c>
    </row>
    <row r="27" spans="1:7" ht="13.8" x14ac:dyDescent="0.25">
      <c r="A27" s="10">
        <v>25</v>
      </c>
      <c r="B27" s="14" t="s">
        <v>99</v>
      </c>
      <c r="C27" s="14" t="s">
        <v>100</v>
      </c>
      <c r="D27" s="19">
        <v>2</v>
      </c>
      <c r="E27" s="10" t="s">
        <v>325</v>
      </c>
      <c r="F27" s="10">
        <v>3</v>
      </c>
      <c r="G27" s="10" t="s">
        <v>341</v>
      </c>
    </row>
    <row r="28" spans="1:7" ht="13.8" x14ac:dyDescent="0.25">
      <c r="A28" s="10">
        <v>26</v>
      </c>
      <c r="B28" s="14" t="s">
        <v>102</v>
      </c>
      <c r="C28" s="14" t="s">
        <v>19</v>
      </c>
      <c r="D28" s="19">
        <v>3</v>
      </c>
      <c r="E28" s="10" t="s">
        <v>325</v>
      </c>
      <c r="F28" s="10">
        <v>3</v>
      </c>
      <c r="G28" s="10" t="s">
        <v>339</v>
      </c>
    </row>
    <row r="29" spans="1:7" ht="13.8" x14ac:dyDescent="0.25">
      <c r="A29" s="10">
        <v>27</v>
      </c>
      <c r="B29" s="14" t="s">
        <v>103</v>
      </c>
      <c r="C29" s="14" t="s">
        <v>104</v>
      </c>
      <c r="D29" s="19">
        <v>4</v>
      </c>
      <c r="E29" s="10" t="s">
        <v>325</v>
      </c>
      <c r="F29" s="10">
        <v>3</v>
      </c>
      <c r="G29" s="10" t="s">
        <v>347</v>
      </c>
    </row>
    <row r="30" spans="1:7" ht="13.8" x14ac:dyDescent="0.25">
      <c r="A30" s="10">
        <v>28</v>
      </c>
      <c r="B30" s="14" t="s">
        <v>106</v>
      </c>
      <c r="C30" s="14" t="s">
        <v>15</v>
      </c>
      <c r="D30" s="19">
        <v>3</v>
      </c>
      <c r="E30" s="10" t="s">
        <v>325</v>
      </c>
      <c r="F30" s="10">
        <v>3</v>
      </c>
      <c r="G30" s="10" t="s">
        <v>336</v>
      </c>
    </row>
    <row r="31" spans="1:7" ht="13.8" x14ac:dyDescent="0.25">
      <c r="A31" s="10">
        <v>29</v>
      </c>
      <c r="B31" s="14" t="s">
        <v>107</v>
      </c>
      <c r="C31" s="14" t="s">
        <v>108</v>
      </c>
      <c r="D31" s="19">
        <v>4</v>
      </c>
      <c r="E31" s="10" t="s">
        <v>325</v>
      </c>
      <c r="F31" s="10">
        <v>3</v>
      </c>
      <c r="G31" s="10" t="s">
        <v>347</v>
      </c>
    </row>
    <row r="32" spans="1:7" ht="13.8" x14ac:dyDescent="0.25">
      <c r="A32" s="10">
        <v>30</v>
      </c>
      <c r="B32" s="14" t="s">
        <v>110</v>
      </c>
      <c r="C32" s="14" t="s">
        <v>111</v>
      </c>
      <c r="D32" s="19">
        <v>0</v>
      </c>
      <c r="E32" s="10" t="s">
        <v>325</v>
      </c>
      <c r="F32" s="10">
        <v>3</v>
      </c>
      <c r="G32" s="10" t="s">
        <v>342</v>
      </c>
    </row>
    <row r="33" spans="1:7" ht="13.8" x14ac:dyDescent="0.25">
      <c r="A33" s="10">
        <v>31</v>
      </c>
      <c r="B33" s="15" t="s">
        <v>113</v>
      </c>
      <c r="C33" s="14" t="s">
        <v>114</v>
      </c>
      <c r="D33" s="19">
        <v>0</v>
      </c>
      <c r="E33" s="10" t="s">
        <v>325</v>
      </c>
      <c r="F33" s="10">
        <v>3</v>
      </c>
      <c r="G33" s="10" t="s">
        <v>341</v>
      </c>
    </row>
    <row r="34" spans="1:7" ht="13.8" x14ac:dyDescent="0.25">
      <c r="A34" s="10">
        <v>32</v>
      </c>
      <c r="B34" s="14" t="s">
        <v>116</v>
      </c>
      <c r="C34" s="14" t="s">
        <v>117</v>
      </c>
      <c r="D34" s="19">
        <v>0</v>
      </c>
      <c r="E34" s="10" t="s">
        <v>325</v>
      </c>
      <c r="F34" s="10">
        <v>3</v>
      </c>
      <c r="G34" s="10" t="s">
        <v>342</v>
      </c>
    </row>
    <row r="35" spans="1:7" ht="13.8" x14ac:dyDescent="0.25">
      <c r="A35" s="10">
        <v>33</v>
      </c>
      <c r="B35" s="14" t="s">
        <v>120</v>
      </c>
      <c r="C35" s="14" t="s">
        <v>121</v>
      </c>
      <c r="D35" s="19">
        <v>2</v>
      </c>
      <c r="E35" s="10" t="s">
        <v>325</v>
      </c>
      <c r="F35" s="10">
        <v>4</v>
      </c>
      <c r="G35" s="10" t="s">
        <v>341</v>
      </c>
    </row>
    <row r="36" spans="1:7" ht="13.8" x14ac:dyDescent="0.25">
      <c r="A36" s="10">
        <v>34</v>
      </c>
      <c r="B36" s="14" t="s">
        <v>123</v>
      </c>
      <c r="C36" s="14" t="s">
        <v>21</v>
      </c>
      <c r="D36" s="19">
        <v>2</v>
      </c>
      <c r="E36" s="10" t="s">
        <v>325</v>
      </c>
      <c r="F36" s="10">
        <v>4</v>
      </c>
      <c r="G36" s="10" t="s">
        <v>339</v>
      </c>
    </row>
    <row r="37" spans="1:7" ht="13.8" x14ac:dyDescent="0.25">
      <c r="A37" s="10">
        <v>35</v>
      </c>
      <c r="B37" s="14" t="s">
        <v>124</v>
      </c>
      <c r="C37" s="14" t="s">
        <v>125</v>
      </c>
      <c r="D37" s="19">
        <v>3</v>
      </c>
      <c r="E37" s="10" t="s">
        <v>325</v>
      </c>
      <c r="F37" s="10">
        <v>4</v>
      </c>
      <c r="G37" s="10" t="s">
        <v>348</v>
      </c>
    </row>
    <row r="38" spans="1:7" ht="13.8" x14ac:dyDescent="0.25">
      <c r="A38" s="10">
        <v>36</v>
      </c>
      <c r="B38" s="14" t="s">
        <v>127</v>
      </c>
      <c r="C38" s="14" t="s">
        <v>128</v>
      </c>
      <c r="D38" s="19">
        <v>3</v>
      </c>
      <c r="E38" s="10" t="s">
        <v>325</v>
      </c>
      <c r="F38" s="10">
        <v>4</v>
      </c>
      <c r="G38" s="10" t="s">
        <v>347</v>
      </c>
    </row>
    <row r="39" spans="1:7" ht="13.8" x14ac:dyDescent="0.25">
      <c r="A39" s="10">
        <v>37</v>
      </c>
      <c r="B39" s="14" t="s">
        <v>130</v>
      </c>
      <c r="C39" s="14" t="s">
        <v>5</v>
      </c>
      <c r="D39" s="19">
        <v>4</v>
      </c>
      <c r="E39" s="10" t="s">
        <v>325</v>
      </c>
      <c r="F39" s="10">
        <v>4</v>
      </c>
      <c r="G39" s="10" t="s">
        <v>333</v>
      </c>
    </row>
    <row r="40" spans="1:7" ht="13.8" x14ac:dyDescent="0.25">
      <c r="A40" s="10">
        <v>38</v>
      </c>
      <c r="B40" s="15" t="s">
        <v>131</v>
      </c>
      <c r="C40" s="14" t="s">
        <v>132</v>
      </c>
      <c r="D40" s="19">
        <v>0</v>
      </c>
      <c r="E40" s="10" t="s">
        <v>325</v>
      </c>
      <c r="F40" s="10">
        <v>4</v>
      </c>
      <c r="G40" s="10" t="s">
        <v>341</v>
      </c>
    </row>
    <row r="41" spans="1:7" ht="13.8" x14ac:dyDescent="0.25">
      <c r="A41" s="10">
        <v>39</v>
      </c>
      <c r="B41" s="15"/>
      <c r="C41" s="14" t="s">
        <v>332</v>
      </c>
      <c r="D41" s="20">
        <v>3</v>
      </c>
      <c r="E41" s="10" t="s">
        <v>329</v>
      </c>
      <c r="F41" s="10">
        <v>4</v>
      </c>
      <c r="G41" s="10" t="s">
        <v>344</v>
      </c>
    </row>
    <row r="42" spans="1:7" ht="13.8" x14ac:dyDescent="0.25">
      <c r="A42" s="10">
        <v>40</v>
      </c>
      <c r="B42" s="14" t="s">
        <v>138</v>
      </c>
      <c r="C42" s="14" t="s">
        <v>23</v>
      </c>
      <c r="D42" s="19">
        <v>2</v>
      </c>
      <c r="E42" s="10" t="s">
        <v>325</v>
      </c>
      <c r="F42" s="10">
        <v>5</v>
      </c>
      <c r="G42" s="10" t="s">
        <v>339</v>
      </c>
    </row>
    <row r="43" spans="1:7" ht="13.8" x14ac:dyDescent="0.25">
      <c r="A43" s="10">
        <v>41</v>
      </c>
      <c r="B43" s="14" t="s">
        <v>140</v>
      </c>
      <c r="C43" s="14" t="s">
        <v>141</v>
      </c>
      <c r="D43" s="19">
        <v>3</v>
      </c>
      <c r="E43" s="10" t="s">
        <v>325</v>
      </c>
      <c r="F43" s="10">
        <v>5</v>
      </c>
      <c r="G43" s="10" t="s">
        <v>348</v>
      </c>
    </row>
    <row r="44" spans="1:7" ht="13.8" x14ac:dyDescent="0.25">
      <c r="A44" s="10">
        <v>42</v>
      </c>
      <c r="B44" s="14" t="s">
        <v>143</v>
      </c>
      <c r="C44" s="14" t="s">
        <v>144</v>
      </c>
      <c r="D44" s="19">
        <v>4</v>
      </c>
      <c r="E44" s="10" t="s">
        <v>325</v>
      </c>
      <c r="F44" s="10">
        <v>5</v>
      </c>
      <c r="G44" s="10" t="s">
        <v>347</v>
      </c>
    </row>
    <row r="45" spans="1:7" ht="13.8" x14ac:dyDescent="0.25">
      <c r="A45" s="10">
        <v>43</v>
      </c>
      <c r="B45" s="14" t="s">
        <v>146</v>
      </c>
      <c r="C45" s="14" t="s">
        <v>147</v>
      </c>
      <c r="D45" s="19">
        <v>3</v>
      </c>
      <c r="E45" s="10" t="s">
        <v>325</v>
      </c>
      <c r="F45" s="10">
        <v>5</v>
      </c>
      <c r="G45" s="10" t="s">
        <v>348</v>
      </c>
    </row>
    <row r="46" spans="1:7" ht="13.8" x14ac:dyDescent="0.25">
      <c r="A46" s="10">
        <v>44</v>
      </c>
      <c r="B46" s="14" t="s">
        <v>149</v>
      </c>
      <c r="C46" s="14" t="s">
        <v>7</v>
      </c>
      <c r="D46" s="19">
        <v>3</v>
      </c>
      <c r="E46" s="10" t="s">
        <v>325</v>
      </c>
      <c r="F46" s="10">
        <v>5</v>
      </c>
      <c r="G46" s="10" t="s">
        <v>334</v>
      </c>
    </row>
    <row r="47" spans="1:7" ht="13.8" x14ac:dyDescent="0.25">
      <c r="A47" s="10">
        <v>45</v>
      </c>
      <c r="B47" s="14" t="s">
        <v>150</v>
      </c>
      <c r="C47" s="14" t="s">
        <v>151</v>
      </c>
      <c r="D47" s="19">
        <v>0</v>
      </c>
      <c r="E47" s="10" t="s">
        <v>325</v>
      </c>
      <c r="F47" s="10">
        <v>5</v>
      </c>
      <c r="G47" s="10" t="s">
        <v>341</v>
      </c>
    </row>
    <row r="48" spans="1:7" ht="13.8" x14ac:dyDescent="0.25">
      <c r="A48" s="10">
        <v>46</v>
      </c>
      <c r="B48" s="14" t="s">
        <v>153</v>
      </c>
      <c r="C48" s="14" t="s">
        <v>154</v>
      </c>
      <c r="D48" s="19">
        <v>0</v>
      </c>
      <c r="E48" s="10" t="s">
        <v>325</v>
      </c>
      <c r="F48" s="10">
        <v>5</v>
      </c>
      <c r="G48" s="10" t="s">
        <v>335</v>
      </c>
    </row>
    <row r="49" spans="1:7" ht="13.8" x14ac:dyDescent="0.25">
      <c r="A49" s="10">
        <v>47</v>
      </c>
      <c r="B49" s="14" t="s">
        <v>157</v>
      </c>
      <c r="C49" s="14" t="s">
        <v>158</v>
      </c>
      <c r="D49" s="19">
        <v>1</v>
      </c>
      <c r="E49" s="10" t="s">
        <v>326</v>
      </c>
      <c r="F49" s="10">
        <v>5</v>
      </c>
      <c r="G49" s="10" t="s">
        <v>345</v>
      </c>
    </row>
    <row r="50" spans="1:7" ht="13.8" x14ac:dyDescent="0.25">
      <c r="A50" s="10">
        <v>48</v>
      </c>
      <c r="B50" s="14" t="s">
        <v>160</v>
      </c>
      <c r="C50" s="14" t="s">
        <v>161</v>
      </c>
      <c r="D50" s="19">
        <v>1</v>
      </c>
      <c r="E50" s="10" t="s">
        <v>326</v>
      </c>
      <c r="F50" s="10">
        <v>5</v>
      </c>
      <c r="G50" s="10" t="s">
        <v>345</v>
      </c>
    </row>
    <row r="51" spans="1:7" ht="13.8" x14ac:dyDescent="0.25">
      <c r="A51" s="10">
        <v>49</v>
      </c>
      <c r="B51" s="14" t="s">
        <v>162</v>
      </c>
      <c r="C51" s="14" t="s">
        <v>163</v>
      </c>
      <c r="D51" s="19">
        <v>1</v>
      </c>
      <c r="E51" s="10" t="s">
        <v>326</v>
      </c>
      <c r="F51" s="10">
        <v>5</v>
      </c>
      <c r="G51" s="10" t="s">
        <v>345</v>
      </c>
    </row>
    <row r="52" spans="1:7" ht="13.8" x14ac:dyDescent="0.25">
      <c r="A52" s="10">
        <v>50</v>
      </c>
      <c r="B52" s="14" t="s">
        <v>165</v>
      </c>
      <c r="C52" s="14" t="s">
        <v>166</v>
      </c>
      <c r="D52" s="19">
        <v>2</v>
      </c>
      <c r="E52" s="10" t="s">
        <v>325</v>
      </c>
      <c r="F52" s="10">
        <v>6</v>
      </c>
      <c r="G52" s="10" t="s">
        <v>339</v>
      </c>
    </row>
    <row r="53" spans="1:7" ht="13.8" x14ac:dyDescent="0.25">
      <c r="A53" s="10">
        <v>51</v>
      </c>
      <c r="B53" s="14" t="s">
        <v>168</v>
      </c>
      <c r="C53" s="14" t="s">
        <v>169</v>
      </c>
      <c r="D53" s="19">
        <v>3</v>
      </c>
      <c r="E53" s="10" t="s">
        <v>325</v>
      </c>
      <c r="F53" s="10">
        <v>6</v>
      </c>
    </row>
    <row r="54" spans="1:7" ht="13.8" x14ac:dyDescent="0.25">
      <c r="A54" s="10">
        <v>52</v>
      </c>
      <c r="B54" s="14" t="s">
        <v>171</v>
      </c>
      <c r="C54" s="14" t="s">
        <v>172</v>
      </c>
      <c r="D54" s="19">
        <v>3</v>
      </c>
      <c r="E54" s="10" t="s">
        <v>325</v>
      </c>
      <c r="F54" s="10">
        <v>6</v>
      </c>
    </row>
    <row r="55" spans="1:7" ht="13.8" x14ac:dyDescent="0.25">
      <c r="A55" s="10">
        <v>53</v>
      </c>
      <c r="B55" s="14" t="s">
        <v>174</v>
      </c>
      <c r="C55" s="14" t="s">
        <v>175</v>
      </c>
      <c r="D55" s="19">
        <v>3</v>
      </c>
      <c r="E55" s="10" t="s">
        <v>325</v>
      </c>
      <c r="F55" s="10">
        <v>6</v>
      </c>
    </row>
    <row r="56" spans="1:7" ht="13.8" x14ac:dyDescent="0.25">
      <c r="A56" s="10">
        <v>54</v>
      </c>
      <c r="B56" s="14" t="s">
        <v>177</v>
      </c>
      <c r="C56" s="14" t="s">
        <v>178</v>
      </c>
      <c r="D56" s="19">
        <v>0</v>
      </c>
      <c r="E56" s="10" t="s">
        <v>325</v>
      </c>
      <c r="F56" s="10">
        <v>6</v>
      </c>
      <c r="G56" s="10" t="s">
        <v>341</v>
      </c>
    </row>
    <row r="57" spans="1:7" ht="13.8" x14ac:dyDescent="0.25">
      <c r="A57" s="10">
        <v>55</v>
      </c>
      <c r="B57" s="14" t="s">
        <v>182</v>
      </c>
      <c r="C57" s="14" t="s">
        <v>183</v>
      </c>
      <c r="D57" s="19">
        <v>1</v>
      </c>
      <c r="E57" s="10" t="s">
        <v>327</v>
      </c>
      <c r="F57" s="10">
        <v>6</v>
      </c>
      <c r="G57" s="10" t="s">
        <v>346</v>
      </c>
    </row>
    <row r="58" spans="1:7" ht="13.8" x14ac:dyDescent="0.25">
      <c r="A58" s="10">
        <v>56</v>
      </c>
      <c r="B58" s="14" t="s">
        <v>185</v>
      </c>
      <c r="C58" s="14" t="s">
        <v>186</v>
      </c>
      <c r="D58" s="19">
        <v>1</v>
      </c>
      <c r="E58" s="10" t="s">
        <v>327</v>
      </c>
      <c r="F58" s="10">
        <v>6</v>
      </c>
      <c r="G58" s="10" t="s">
        <v>346</v>
      </c>
    </row>
    <row r="59" spans="1:7" ht="13.8" x14ac:dyDescent="0.25">
      <c r="A59" s="10">
        <v>57</v>
      </c>
      <c r="B59" s="14" t="s">
        <v>187</v>
      </c>
      <c r="C59" s="14" t="s">
        <v>188</v>
      </c>
      <c r="D59" s="19">
        <v>1</v>
      </c>
      <c r="E59" s="10" t="s">
        <v>327</v>
      </c>
      <c r="F59" s="10">
        <v>6</v>
      </c>
      <c r="G59" s="10" t="s">
        <v>346</v>
      </c>
    </row>
    <row r="60" spans="1:7" ht="13.8" x14ac:dyDescent="0.25">
      <c r="A60" s="10">
        <v>58</v>
      </c>
      <c r="B60" s="14"/>
      <c r="C60" s="14" t="s">
        <v>332</v>
      </c>
      <c r="D60" s="20">
        <v>3</v>
      </c>
      <c r="E60" s="10" t="s">
        <v>329</v>
      </c>
      <c r="F60" s="10">
        <v>6</v>
      </c>
      <c r="G60" s="10" t="s">
        <v>344</v>
      </c>
    </row>
    <row r="61" spans="1:7" ht="13.8" x14ac:dyDescent="0.25">
      <c r="A61" s="10">
        <v>59</v>
      </c>
      <c r="B61" s="14" t="s">
        <v>190</v>
      </c>
      <c r="C61" s="14" t="s">
        <v>191</v>
      </c>
      <c r="D61" s="19">
        <v>2</v>
      </c>
      <c r="E61" s="10" t="s">
        <v>325</v>
      </c>
      <c r="F61" s="10" t="s">
        <v>331</v>
      </c>
      <c r="G61" s="10" t="s">
        <v>343</v>
      </c>
    </row>
    <row r="62" spans="1:7" ht="13.8" x14ac:dyDescent="0.25">
      <c r="A62" s="10">
        <v>60</v>
      </c>
      <c r="B62" s="14" t="s">
        <v>194</v>
      </c>
      <c r="C62" s="14" t="s">
        <v>195</v>
      </c>
      <c r="D62" s="19">
        <v>2</v>
      </c>
      <c r="E62" s="10" t="s">
        <v>325</v>
      </c>
      <c r="F62" s="10">
        <v>7</v>
      </c>
      <c r="G62" s="10" t="s">
        <v>339</v>
      </c>
    </row>
    <row r="63" spans="1:7" ht="13.8" x14ac:dyDescent="0.25">
      <c r="A63" s="10">
        <v>61</v>
      </c>
      <c r="B63" s="14" t="s">
        <v>197</v>
      </c>
      <c r="C63" s="14" t="s">
        <v>198</v>
      </c>
      <c r="D63" s="19">
        <v>2</v>
      </c>
      <c r="E63" s="10" t="s">
        <v>325</v>
      </c>
      <c r="F63" s="10">
        <v>7</v>
      </c>
      <c r="G63" s="10" t="s">
        <v>343</v>
      </c>
    </row>
    <row r="64" spans="1:7" ht="13.8" x14ac:dyDescent="0.25">
      <c r="A64" s="10">
        <v>62</v>
      </c>
      <c r="B64" s="14" t="s">
        <v>200</v>
      </c>
      <c r="C64" s="14" t="s">
        <v>201</v>
      </c>
      <c r="D64" s="19">
        <v>3</v>
      </c>
      <c r="E64" s="10" t="s">
        <v>325</v>
      </c>
      <c r="F64" s="10">
        <v>7</v>
      </c>
      <c r="G64" s="10" t="s">
        <v>340</v>
      </c>
    </row>
    <row r="65" spans="1:7" ht="13.8" x14ac:dyDescent="0.25">
      <c r="A65" s="10">
        <v>63</v>
      </c>
      <c r="B65" s="14" t="s">
        <v>203</v>
      </c>
      <c r="C65" s="14" t="s">
        <v>204</v>
      </c>
      <c r="D65" s="19">
        <v>4</v>
      </c>
      <c r="E65" s="10" t="s">
        <v>325</v>
      </c>
      <c r="F65" s="10">
        <v>7</v>
      </c>
      <c r="G65" s="10" t="s">
        <v>348</v>
      </c>
    </row>
    <row r="66" spans="1:7" ht="13.8" x14ac:dyDescent="0.25">
      <c r="A66" s="10">
        <v>64</v>
      </c>
      <c r="B66" s="15" t="s">
        <v>206</v>
      </c>
      <c r="C66" s="14" t="s">
        <v>207</v>
      </c>
      <c r="D66" s="19">
        <v>0</v>
      </c>
      <c r="E66" s="10" t="s">
        <v>325</v>
      </c>
      <c r="F66" s="10">
        <v>7</v>
      </c>
      <c r="G66" s="10" t="s">
        <v>341</v>
      </c>
    </row>
    <row r="67" spans="1:7" ht="13.8" x14ac:dyDescent="0.25">
      <c r="A67" s="10">
        <v>65</v>
      </c>
      <c r="B67" s="14" t="s">
        <v>210</v>
      </c>
      <c r="C67" s="14" t="s">
        <v>211</v>
      </c>
      <c r="D67" s="19">
        <v>3</v>
      </c>
      <c r="E67" s="10" t="s">
        <v>328</v>
      </c>
      <c r="F67" s="10">
        <v>7</v>
      </c>
      <c r="G67" s="10" t="s">
        <v>338</v>
      </c>
    </row>
    <row r="68" spans="1:7" ht="13.8" x14ac:dyDescent="0.25">
      <c r="A68" s="10">
        <v>66</v>
      </c>
      <c r="B68" s="14" t="s">
        <v>213</v>
      </c>
      <c r="C68" s="14" t="s">
        <v>214</v>
      </c>
      <c r="D68" s="19">
        <v>3</v>
      </c>
      <c r="E68" s="10" t="s">
        <v>328</v>
      </c>
      <c r="F68" s="10">
        <v>7</v>
      </c>
      <c r="G68" s="10" t="s">
        <v>338</v>
      </c>
    </row>
    <row r="69" spans="1:7" ht="13.8" x14ac:dyDescent="0.25">
      <c r="A69" s="10">
        <v>67</v>
      </c>
      <c r="B69" s="14" t="s">
        <v>216</v>
      </c>
      <c r="C69" s="14" t="s">
        <v>217</v>
      </c>
      <c r="D69" s="19">
        <v>3</v>
      </c>
      <c r="E69" s="10" t="s">
        <v>328</v>
      </c>
      <c r="F69" s="10">
        <v>7</v>
      </c>
      <c r="G69" s="10" t="s">
        <v>338</v>
      </c>
    </row>
    <row r="70" spans="1:7" ht="13.8" x14ac:dyDescent="0.25">
      <c r="A70" s="10">
        <v>68</v>
      </c>
      <c r="B70" s="14" t="s">
        <v>219</v>
      </c>
      <c r="C70" s="14" t="s">
        <v>220</v>
      </c>
      <c r="D70" s="19">
        <v>3</v>
      </c>
      <c r="E70" s="10" t="s">
        <v>328</v>
      </c>
      <c r="F70" s="10">
        <v>7</v>
      </c>
      <c r="G70" s="10" t="s">
        <v>338</v>
      </c>
    </row>
    <row r="71" spans="1:7" ht="13.8" x14ac:dyDescent="0.25">
      <c r="A71" s="10">
        <v>69</v>
      </c>
      <c r="B71" s="14" t="s">
        <v>222</v>
      </c>
      <c r="C71" s="14" t="s">
        <v>223</v>
      </c>
      <c r="D71" s="19">
        <v>3</v>
      </c>
      <c r="E71" s="10" t="s">
        <v>328</v>
      </c>
      <c r="F71" s="10">
        <v>7</v>
      </c>
      <c r="G71" s="10" t="s">
        <v>338</v>
      </c>
    </row>
    <row r="72" spans="1:7" ht="13.8" x14ac:dyDescent="0.25">
      <c r="A72" s="10">
        <v>70</v>
      </c>
      <c r="B72" s="14" t="s">
        <v>226</v>
      </c>
      <c r="C72" s="14" t="s">
        <v>17</v>
      </c>
      <c r="D72" s="19">
        <v>2</v>
      </c>
      <c r="E72" s="10" t="s">
        <v>325</v>
      </c>
      <c r="F72" s="10">
        <v>8</v>
      </c>
      <c r="G72" s="10" t="s">
        <v>339</v>
      </c>
    </row>
    <row r="73" spans="1:7" ht="13.8" x14ac:dyDescent="0.25">
      <c r="A73" s="10">
        <v>71</v>
      </c>
      <c r="B73" s="14" t="s">
        <v>227</v>
      </c>
      <c r="C73" s="14" t="s">
        <v>228</v>
      </c>
      <c r="D73" s="19">
        <v>4</v>
      </c>
      <c r="E73" s="10" t="s">
        <v>325</v>
      </c>
      <c r="F73" s="10">
        <v>8</v>
      </c>
      <c r="G73" s="10" t="s">
        <v>343</v>
      </c>
    </row>
    <row r="74" spans="1:7" ht="13.8" x14ac:dyDescent="0.25">
      <c r="A74" s="10">
        <v>72</v>
      </c>
      <c r="B74" s="15" t="s">
        <v>230</v>
      </c>
      <c r="C74" s="14" t="s">
        <v>231</v>
      </c>
      <c r="D74" s="19">
        <v>0</v>
      </c>
      <c r="E74" s="10" t="s">
        <v>325</v>
      </c>
      <c r="F74" s="10">
        <v>8</v>
      </c>
      <c r="G74" s="10" t="s">
        <v>341</v>
      </c>
    </row>
    <row r="75" spans="1:7" ht="13.8" x14ac:dyDescent="0.25">
      <c r="A75" s="10">
        <v>73</v>
      </c>
      <c r="C75" s="14" t="s">
        <v>332</v>
      </c>
      <c r="D75" s="20">
        <v>3</v>
      </c>
      <c r="E75" s="10" t="s">
        <v>329</v>
      </c>
      <c r="F75" s="10">
        <v>8</v>
      </c>
      <c r="G75" s="10" t="s">
        <v>344</v>
      </c>
    </row>
    <row r="76" spans="1:7" x14ac:dyDescent="0.25">
      <c r="D76" s="10">
        <f>SUMIF(E3:E75,"x",D3:D75)+1+1+3+9</f>
        <v>122</v>
      </c>
    </row>
  </sheetData>
  <phoneticPr fontId="25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"/>
  <sheetViews>
    <sheetView tabSelected="1" topLeftCell="A19" workbookViewId="0">
      <selection activeCell="C54" sqref="C54"/>
    </sheetView>
  </sheetViews>
  <sheetFormatPr defaultColWidth="9.109375" defaultRowHeight="13.2" x14ac:dyDescent="0.25"/>
  <cols>
    <col min="1" max="1" width="8.88671875" style="16" customWidth="1"/>
    <col min="2" max="2" width="11.33203125" style="16" bestFit="1" customWidth="1"/>
    <col min="3" max="3" width="35.33203125" style="16" bestFit="1" customWidth="1"/>
    <col min="4" max="4" width="16" style="16" bestFit="1" customWidth="1"/>
    <col min="5" max="5" width="7.88671875" style="16" bestFit="1" customWidth="1"/>
    <col min="6" max="11" width="9.109375" style="16"/>
    <col min="12" max="12" width="8.44140625" style="16" customWidth="1"/>
    <col min="13" max="15" width="9.109375" style="16"/>
    <col min="16" max="16" width="9.5546875" style="16" bestFit="1" customWidth="1"/>
    <col min="17" max="20" width="9.109375" style="16"/>
    <col min="21" max="21" width="11.109375" style="16" customWidth="1"/>
    <col min="22" max="22" width="11.33203125" style="16" customWidth="1"/>
    <col min="23" max="23" width="10" style="16" customWidth="1"/>
    <col min="24" max="16384" width="9.109375" style="16"/>
  </cols>
  <sheetData>
    <row r="1" spans="1:27" x14ac:dyDescent="0.25">
      <c r="G1" s="21" t="s">
        <v>398</v>
      </c>
      <c r="H1" s="22">
        <f>SUM(H3:H39)/(SUM(D3:D39)-(0))</f>
        <v>1.2545454545454546</v>
      </c>
      <c r="J1" s="16">
        <f>SUM(H4:H80)/SUM(I4:I80)</f>
        <v>1.7692307692307692</v>
      </c>
      <c r="L1" s="24" t="s">
        <v>407</v>
      </c>
      <c r="M1" s="16">
        <f>SUM(M4:M80)/SUM(N4:N80)</f>
        <v>1.9743589743589745</v>
      </c>
      <c r="U1" s="16" t="s">
        <v>437</v>
      </c>
      <c r="V1" s="16" t="s">
        <v>353</v>
      </c>
      <c r="W1" s="16" t="s">
        <v>352</v>
      </c>
      <c r="X1" s="26" t="s">
        <v>438</v>
      </c>
    </row>
    <row r="2" spans="1:27" x14ac:dyDescent="0.25">
      <c r="A2" s="23" t="s">
        <v>349</v>
      </c>
      <c r="T2" s="16">
        <v>0</v>
      </c>
      <c r="U2" s="16" t="s">
        <v>411</v>
      </c>
      <c r="V2" s="16" t="s">
        <v>361</v>
      </c>
      <c r="W2" s="16" t="s">
        <v>413</v>
      </c>
      <c r="X2" s="16">
        <v>0</v>
      </c>
      <c r="Z2"/>
      <c r="AA2"/>
    </row>
    <row r="3" spans="1:27" x14ac:dyDescent="0.25">
      <c r="B3" s="16" t="s">
        <v>350</v>
      </c>
      <c r="C3" s="16" t="s">
        <v>30</v>
      </c>
      <c r="D3" s="16" t="s">
        <v>351</v>
      </c>
      <c r="E3" s="16" t="s">
        <v>352</v>
      </c>
      <c r="F3" s="16" t="s">
        <v>353</v>
      </c>
      <c r="H3" s="27"/>
      <c r="I3" s="27"/>
      <c r="T3" s="16">
        <v>4</v>
      </c>
      <c r="U3" s="16" t="s">
        <v>410</v>
      </c>
      <c r="V3" s="16" t="s">
        <v>384</v>
      </c>
      <c r="W3" s="16" t="s">
        <v>421</v>
      </c>
      <c r="X3" s="16">
        <v>1</v>
      </c>
      <c r="Z3"/>
      <c r="AA3"/>
    </row>
    <row r="4" spans="1:27" x14ac:dyDescent="0.25">
      <c r="B4" s="16" t="s">
        <v>44</v>
      </c>
      <c r="C4" s="16" t="s">
        <v>365</v>
      </c>
      <c r="D4" s="17">
        <v>3</v>
      </c>
      <c r="E4" s="16" t="s">
        <v>366</v>
      </c>
      <c r="F4" s="16" t="s">
        <v>367</v>
      </c>
      <c r="H4" s="27">
        <f>IF(D4&gt;0,VLOOKUP(F4,$V$2:$X$10,3,0)*D4,0)</f>
        <v>9</v>
      </c>
      <c r="I4" s="27">
        <f>IF(H4&gt;0,D4,0)</f>
        <v>3</v>
      </c>
      <c r="L4" s="25"/>
      <c r="M4" s="27">
        <f>IF(L4="ct",0,IF(ISBLANK(L4),H4,VLOOKUP(L4,$T$2:$X$10,5,1)*D4))</f>
        <v>9</v>
      </c>
      <c r="N4" s="27">
        <f>IF(L4="ct",0,I4)</f>
        <v>3</v>
      </c>
      <c r="T4" s="16">
        <v>5</v>
      </c>
      <c r="U4" s="16" t="s">
        <v>409</v>
      </c>
      <c r="V4" s="16" t="s">
        <v>357</v>
      </c>
      <c r="W4" s="16" t="s">
        <v>402</v>
      </c>
      <c r="X4" s="16">
        <v>1</v>
      </c>
      <c r="Z4"/>
      <c r="AA4"/>
    </row>
    <row r="5" spans="1:27" x14ac:dyDescent="0.25">
      <c r="B5" s="16" t="s">
        <v>47</v>
      </c>
      <c r="C5" s="16" t="s">
        <v>48</v>
      </c>
      <c r="D5" s="17">
        <v>3</v>
      </c>
      <c r="E5" s="16" t="s">
        <v>368</v>
      </c>
      <c r="F5" s="16" t="s">
        <v>359</v>
      </c>
      <c r="H5" s="27">
        <f t="shared" ref="H5:H11" si="0">IF(D5&gt;0,VLOOKUP(F5,$V$2:$X$10,3,0)*D5,0)</f>
        <v>6</v>
      </c>
      <c r="I5" s="27">
        <f t="shared" ref="I5:I39" si="1">IF(H5&gt;0,D5,0)</f>
        <v>3</v>
      </c>
      <c r="M5" s="27">
        <f t="shared" ref="M5:M39" si="2">IF(L5="ct",0,IF(ISBLANK(L5),H5,VLOOKUP(L5,$T$2:$X$10,5,1)*D5))</f>
        <v>6</v>
      </c>
      <c r="N5" s="27">
        <f t="shared" ref="N5:N39" si="3">IF(L5="ct",0,I5)</f>
        <v>3</v>
      </c>
      <c r="T5" s="16">
        <v>5.5</v>
      </c>
      <c r="U5" s="16" t="s">
        <v>418</v>
      </c>
      <c r="V5" s="16" t="s">
        <v>359</v>
      </c>
      <c r="W5" s="16" t="s">
        <v>416</v>
      </c>
      <c r="X5" s="16">
        <v>2</v>
      </c>
      <c r="Z5"/>
      <c r="AA5"/>
    </row>
    <row r="6" spans="1:27" x14ac:dyDescent="0.25">
      <c r="B6" s="16" t="s">
        <v>50</v>
      </c>
      <c r="C6" s="16" t="s">
        <v>51</v>
      </c>
      <c r="D6" s="17">
        <v>0</v>
      </c>
      <c r="E6" s="16" t="s">
        <v>356</v>
      </c>
      <c r="F6" s="16" t="s">
        <v>357</v>
      </c>
      <c r="H6" s="27">
        <f t="shared" si="0"/>
        <v>0</v>
      </c>
      <c r="I6" s="27">
        <f t="shared" si="1"/>
        <v>0</v>
      </c>
      <c r="M6" s="27">
        <f t="shared" si="2"/>
        <v>0</v>
      </c>
      <c r="N6" s="27">
        <f t="shared" si="3"/>
        <v>0</v>
      </c>
      <c r="T6" s="16">
        <v>6.5</v>
      </c>
      <c r="U6" s="16" t="s">
        <v>417</v>
      </c>
      <c r="V6" s="16" t="s">
        <v>404</v>
      </c>
      <c r="W6" s="16" t="s">
        <v>415</v>
      </c>
      <c r="X6" s="16">
        <v>2</v>
      </c>
      <c r="Z6"/>
      <c r="AA6"/>
    </row>
    <row r="7" spans="1:27" x14ac:dyDescent="0.25">
      <c r="B7" s="16" t="s">
        <v>41</v>
      </c>
      <c r="C7" s="16" t="s">
        <v>42</v>
      </c>
      <c r="D7" s="17">
        <v>4</v>
      </c>
      <c r="E7" s="16" t="s">
        <v>358</v>
      </c>
      <c r="F7" s="16" t="s">
        <v>359</v>
      </c>
      <c r="H7" s="27">
        <f t="shared" si="0"/>
        <v>8</v>
      </c>
      <c r="I7" s="27">
        <f t="shared" si="1"/>
        <v>4</v>
      </c>
      <c r="M7" s="27">
        <f t="shared" si="2"/>
        <v>8</v>
      </c>
      <c r="N7" s="27">
        <f t="shared" si="3"/>
        <v>4</v>
      </c>
      <c r="T7" s="16">
        <v>7</v>
      </c>
      <c r="U7" s="16" t="s">
        <v>408</v>
      </c>
      <c r="V7" s="16" t="s">
        <v>367</v>
      </c>
      <c r="W7" s="16" t="s">
        <v>414</v>
      </c>
      <c r="X7" s="16">
        <v>3</v>
      </c>
    </row>
    <row r="8" spans="1:27" x14ac:dyDescent="0.25">
      <c r="B8" s="16" t="s">
        <v>362</v>
      </c>
      <c r="C8" s="16" t="s">
        <v>363</v>
      </c>
      <c r="D8" s="17">
        <v>0</v>
      </c>
      <c r="E8" s="16" t="s">
        <v>364</v>
      </c>
      <c r="F8" s="16" t="s">
        <v>359</v>
      </c>
      <c r="H8" s="27">
        <f t="shared" si="0"/>
        <v>0</v>
      </c>
      <c r="I8" s="27">
        <f t="shared" si="1"/>
        <v>0</v>
      </c>
      <c r="M8" s="27">
        <f t="shared" si="2"/>
        <v>0</v>
      </c>
      <c r="N8" s="27">
        <f t="shared" si="3"/>
        <v>0</v>
      </c>
      <c r="T8" s="16">
        <v>8</v>
      </c>
      <c r="U8" s="16" t="s">
        <v>419</v>
      </c>
      <c r="V8" s="16" t="s">
        <v>355</v>
      </c>
      <c r="W8" s="16" t="s">
        <v>360</v>
      </c>
      <c r="X8" s="16">
        <v>3</v>
      </c>
    </row>
    <row r="9" spans="1:27" x14ac:dyDescent="0.25">
      <c r="B9" s="16" t="s">
        <v>43</v>
      </c>
      <c r="C9" s="16" t="s">
        <v>9</v>
      </c>
      <c r="D9" s="17">
        <v>4</v>
      </c>
      <c r="E9" s="16" t="s">
        <v>360</v>
      </c>
      <c r="F9" s="16" t="s">
        <v>361</v>
      </c>
      <c r="H9" s="27">
        <f t="shared" si="0"/>
        <v>0</v>
      </c>
      <c r="I9" s="27">
        <f t="shared" si="1"/>
        <v>0</v>
      </c>
      <c r="M9" s="27">
        <f t="shared" si="2"/>
        <v>0</v>
      </c>
      <c r="N9" s="27">
        <f t="shared" si="3"/>
        <v>0</v>
      </c>
      <c r="T9" s="16">
        <v>8.5</v>
      </c>
      <c r="U9" s="16" t="s">
        <v>420</v>
      </c>
      <c r="V9" s="16" t="s">
        <v>372</v>
      </c>
      <c r="W9" s="16" t="s">
        <v>386</v>
      </c>
      <c r="X9" s="16">
        <v>4</v>
      </c>
    </row>
    <row r="10" spans="1:27" x14ac:dyDescent="0.25">
      <c r="B10" s="16" t="s">
        <v>53</v>
      </c>
      <c r="C10" s="16" t="s">
        <v>54</v>
      </c>
      <c r="D10" s="17">
        <v>0</v>
      </c>
      <c r="E10" s="16" t="s">
        <v>354</v>
      </c>
      <c r="F10" s="16" t="s">
        <v>355</v>
      </c>
      <c r="H10" s="27">
        <f t="shared" si="0"/>
        <v>0</v>
      </c>
      <c r="I10" s="27">
        <f t="shared" si="1"/>
        <v>0</v>
      </c>
      <c r="M10" s="27">
        <f t="shared" si="2"/>
        <v>0</v>
      </c>
      <c r="N10" s="27">
        <f t="shared" si="3"/>
        <v>0</v>
      </c>
      <c r="T10" s="16">
        <v>9.5</v>
      </c>
      <c r="U10" s="16" t="s">
        <v>435</v>
      </c>
      <c r="V10" s="16" t="s">
        <v>412</v>
      </c>
      <c r="W10" s="16" t="s">
        <v>386</v>
      </c>
      <c r="X10" s="16">
        <v>4</v>
      </c>
    </row>
    <row r="11" spans="1:27" x14ac:dyDescent="0.25">
      <c r="B11" s="16" t="s">
        <v>369</v>
      </c>
      <c r="C11" s="16" t="s">
        <v>370</v>
      </c>
      <c r="D11" s="17">
        <v>0</v>
      </c>
      <c r="E11" s="16" t="s">
        <v>371</v>
      </c>
      <c r="F11" s="16" t="s">
        <v>372</v>
      </c>
      <c r="H11" s="27">
        <f t="shared" si="0"/>
        <v>0</v>
      </c>
      <c r="I11" s="27">
        <f t="shared" si="1"/>
        <v>0</v>
      </c>
      <c r="M11" s="27">
        <f t="shared" si="2"/>
        <v>0</v>
      </c>
      <c r="N11" s="27">
        <f t="shared" si="3"/>
        <v>0</v>
      </c>
    </row>
    <row r="12" spans="1:27" x14ac:dyDescent="0.25">
      <c r="A12" s="16" t="s">
        <v>373</v>
      </c>
      <c r="D12" s="16" t="s">
        <v>374</v>
      </c>
      <c r="F12" s="18">
        <f>SUM(H4:H11)/SUM(D4:D11)</f>
        <v>1.6428571428571428</v>
      </c>
      <c r="H12" s="27"/>
      <c r="I12" s="27"/>
      <c r="M12" s="27">
        <f t="shared" si="2"/>
        <v>0</v>
      </c>
      <c r="N12" s="27">
        <f t="shared" si="3"/>
        <v>0</v>
      </c>
    </row>
    <row r="13" spans="1:27" x14ac:dyDescent="0.25">
      <c r="H13" s="27"/>
      <c r="I13" s="27"/>
      <c r="M13" s="27">
        <f t="shared" si="2"/>
        <v>0</v>
      </c>
      <c r="N13" s="27">
        <f t="shared" si="3"/>
        <v>0</v>
      </c>
      <c r="U13" s="16" t="s">
        <v>433</v>
      </c>
    </row>
    <row r="14" spans="1:27" x14ac:dyDescent="0.25">
      <c r="A14" s="23" t="s">
        <v>375</v>
      </c>
      <c r="H14" s="27"/>
      <c r="I14" s="27"/>
      <c r="M14" s="27">
        <f t="shared" si="2"/>
        <v>0</v>
      </c>
      <c r="N14" s="27">
        <f t="shared" si="3"/>
        <v>0</v>
      </c>
      <c r="U14" s="16" t="s">
        <v>422</v>
      </c>
      <c r="V14" s="16" t="s">
        <v>428</v>
      </c>
    </row>
    <row r="15" spans="1:27" x14ac:dyDescent="0.25">
      <c r="B15" s="16" t="s">
        <v>350</v>
      </c>
      <c r="C15" s="16" t="s">
        <v>30</v>
      </c>
      <c r="D15" s="16" t="s">
        <v>351</v>
      </c>
      <c r="E15" s="16" t="s">
        <v>352</v>
      </c>
      <c r="F15" s="16" t="s">
        <v>353</v>
      </c>
      <c r="H15" s="27"/>
      <c r="I15" s="27"/>
      <c r="M15" s="27">
        <f t="shared" si="2"/>
        <v>0</v>
      </c>
      <c r="N15" s="27">
        <f t="shared" si="3"/>
        <v>0</v>
      </c>
      <c r="U15" s="16" t="s">
        <v>423</v>
      </c>
      <c r="V15" s="16" t="s">
        <v>429</v>
      </c>
    </row>
    <row r="16" spans="1:27" x14ac:dyDescent="0.25">
      <c r="B16" s="16" t="s">
        <v>376</v>
      </c>
      <c r="C16" s="16" t="s">
        <v>377</v>
      </c>
      <c r="D16" s="17">
        <v>0</v>
      </c>
      <c r="E16" s="16" t="s">
        <v>364</v>
      </c>
      <c r="F16" s="16" t="s">
        <v>359</v>
      </c>
      <c r="H16" s="27">
        <f>IF(D16&gt;0,VLOOKUP(F16,$V$2:$X$10,3,0)*D16,0)</f>
        <v>0</v>
      </c>
      <c r="I16" s="27">
        <f t="shared" si="1"/>
        <v>0</v>
      </c>
      <c r="M16" s="27">
        <f t="shared" si="2"/>
        <v>0</v>
      </c>
      <c r="N16" s="27">
        <f t="shared" si="3"/>
        <v>0</v>
      </c>
      <c r="U16" s="16" t="s">
        <v>424</v>
      </c>
      <c r="V16" s="16" t="s">
        <v>430</v>
      </c>
    </row>
    <row r="17" spans="1:22" x14ac:dyDescent="0.25">
      <c r="B17" s="16" t="s">
        <v>90</v>
      </c>
      <c r="C17" s="16" t="s">
        <v>382</v>
      </c>
      <c r="D17" s="17">
        <v>4</v>
      </c>
      <c r="E17" s="16" t="s">
        <v>383</v>
      </c>
      <c r="F17" s="16" t="s">
        <v>384</v>
      </c>
      <c r="H17" s="27">
        <f t="shared" ref="H17:H23" si="4">IF(D17&gt;0,VLOOKUP(F17,$V$2:$X$10,3,0)*D17,0)</f>
        <v>4</v>
      </c>
      <c r="I17" s="27">
        <f t="shared" si="1"/>
        <v>4</v>
      </c>
      <c r="M17" s="27">
        <f t="shared" si="2"/>
        <v>4</v>
      </c>
      <c r="N17" s="27">
        <f t="shared" si="3"/>
        <v>4</v>
      </c>
      <c r="U17" s="16" t="s">
        <v>425</v>
      </c>
      <c r="V17" s="16" t="s">
        <v>431</v>
      </c>
    </row>
    <row r="18" spans="1:22" x14ac:dyDescent="0.25">
      <c r="B18" s="16" t="s">
        <v>91</v>
      </c>
      <c r="C18" s="16" t="s">
        <v>387</v>
      </c>
      <c r="D18" s="17">
        <v>3</v>
      </c>
      <c r="E18" s="16" t="s">
        <v>364</v>
      </c>
      <c r="F18" s="16" t="s">
        <v>359</v>
      </c>
      <c r="H18" s="27">
        <f t="shared" si="4"/>
        <v>6</v>
      </c>
      <c r="I18" s="27">
        <f t="shared" si="1"/>
        <v>3</v>
      </c>
      <c r="M18" s="27">
        <f t="shared" si="2"/>
        <v>6</v>
      </c>
      <c r="N18" s="27">
        <f t="shared" si="3"/>
        <v>3</v>
      </c>
      <c r="U18" s="16" t="s">
        <v>426</v>
      </c>
      <c r="V18" s="16" t="s">
        <v>434</v>
      </c>
    </row>
    <row r="19" spans="1:22" x14ac:dyDescent="0.25">
      <c r="B19" s="16" t="s">
        <v>95</v>
      </c>
      <c r="C19" s="16" t="s">
        <v>96</v>
      </c>
      <c r="D19" s="17">
        <v>0</v>
      </c>
      <c r="E19" s="16" t="s">
        <v>381</v>
      </c>
      <c r="F19" s="16" t="s">
        <v>357</v>
      </c>
      <c r="H19" s="27">
        <f t="shared" si="4"/>
        <v>0</v>
      </c>
      <c r="I19" s="27">
        <f t="shared" si="1"/>
        <v>0</v>
      </c>
      <c r="M19" s="27">
        <f t="shared" si="2"/>
        <v>0</v>
      </c>
      <c r="N19" s="27">
        <f t="shared" si="3"/>
        <v>0</v>
      </c>
      <c r="U19" s="16" t="s">
        <v>427</v>
      </c>
      <c r="V19" s="16" t="s">
        <v>432</v>
      </c>
    </row>
    <row r="20" spans="1:22" x14ac:dyDescent="0.25">
      <c r="B20" s="16" t="s">
        <v>116</v>
      </c>
      <c r="C20" s="16" t="s">
        <v>378</v>
      </c>
      <c r="D20" s="17">
        <v>0</v>
      </c>
      <c r="E20" s="16" t="s">
        <v>379</v>
      </c>
      <c r="F20" s="16" t="s">
        <v>380</v>
      </c>
      <c r="H20" s="27">
        <f t="shared" si="4"/>
        <v>0</v>
      </c>
      <c r="I20" s="27">
        <f t="shared" si="1"/>
        <v>0</v>
      </c>
      <c r="M20" s="27">
        <f t="shared" si="2"/>
        <v>0</v>
      </c>
      <c r="N20" s="27">
        <f t="shared" si="3"/>
        <v>0</v>
      </c>
    </row>
    <row r="21" spans="1:22" x14ac:dyDescent="0.25">
      <c r="B21" s="16" t="s">
        <v>88</v>
      </c>
      <c r="C21" s="16" t="s">
        <v>1</v>
      </c>
      <c r="D21" s="17">
        <v>4</v>
      </c>
      <c r="E21" s="16" t="s">
        <v>388</v>
      </c>
      <c r="F21" s="16" t="s">
        <v>361</v>
      </c>
      <c r="H21" s="27">
        <f t="shared" si="4"/>
        <v>0</v>
      </c>
      <c r="I21" s="27">
        <f t="shared" si="1"/>
        <v>0</v>
      </c>
      <c r="L21" s="16">
        <v>5.5</v>
      </c>
      <c r="M21" s="27">
        <f t="shared" si="2"/>
        <v>8</v>
      </c>
      <c r="N21" s="27">
        <f t="shared" si="3"/>
        <v>0</v>
      </c>
    </row>
    <row r="22" spans="1:22" x14ac:dyDescent="0.25">
      <c r="B22" s="16" t="s">
        <v>89</v>
      </c>
      <c r="C22" s="16" t="s">
        <v>385</v>
      </c>
      <c r="D22" s="17">
        <v>3</v>
      </c>
      <c r="E22" s="16" t="s">
        <v>386</v>
      </c>
      <c r="F22" s="16" t="s">
        <v>384</v>
      </c>
      <c r="H22" s="27">
        <f t="shared" si="4"/>
        <v>3</v>
      </c>
      <c r="I22" s="27">
        <f t="shared" si="1"/>
        <v>3</v>
      </c>
      <c r="M22" s="27">
        <f t="shared" si="2"/>
        <v>3</v>
      </c>
      <c r="N22" s="27">
        <f t="shared" si="3"/>
        <v>3</v>
      </c>
    </row>
    <row r="23" spans="1:22" x14ac:dyDescent="0.25">
      <c r="B23" s="16" t="s">
        <v>94</v>
      </c>
      <c r="C23" s="16" t="s">
        <v>389</v>
      </c>
      <c r="D23" s="17">
        <v>1</v>
      </c>
      <c r="E23" s="16" t="s">
        <v>390</v>
      </c>
      <c r="F23" s="16" t="s">
        <v>372</v>
      </c>
      <c r="H23" s="27">
        <f t="shared" si="4"/>
        <v>4</v>
      </c>
      <c r="I23" s="27">
        <f t="shared" si="1"/>
        <v>1</v>
      </c>
      <c r="M23" s="27">
        <f t="shared" si="2"/>
        <v>4</v>
      </c>
      <c r="N23" s="27">
        <f t="shared" si="3"/>
        <v>1</v>
      </c>
    </row>
    <row r="24" spans="1:22" x14ac:dyDescent="0.25">
      <c r="A24" s="16" t="s">
        <v>391</v>
      </c>
      <c r="D24" s="16" t="s">
        <v>392</v>
      </c>
      <c r="F24" s="18">
        <f>SUM(H16:H23)/SUM(D16:D23)</f>
        <v>1.1333333333333333</v>
      </c>
      <c r="H24" s="27"/>
      <c r="I24" s="27"/>
      <c r="M24" s="27">
        <f t="shared" si="2"/>
        <v>0</v>
      </c>
      <c r="N24" s="27">
        <f t="shared" si="3"/>
        <v>0</v>
      </c>
    </row>
    <row r="25" spans="1:22" x14ac:dyDescent="0.25">
      <c r="F25" s="18"/>
      <c r="H25" s="27"/>
      <c r="I25" s="27"/>
      <c r="M25" s="27">
        <f t="shared" si="2"/>
        <v>0</v>
      </c>
      <c r="N25" s="27">
        <f t="shared" si="3"/>
        <v>0</v>
      </c>
    </row>
    <row r="26" spans="1:22" x14ac:dyDescent="0.25">
      <c r="A26" s="23" t="s">
        <v>400</v>
      </c>
      <c r="H26" s="27"/>
      <c r="I26" s="27"/>
      <c r="M26" s="27">
        <f t="shared" si="2"/>
        <v>0</v>
      </c>
      <c r="N26" s="27">
        <f t="shared" si="3"/>
        <v>0</v>
      </c>
    </row>
    <row r="27" spans="1:22" x14ac:dyDescent="0.25">
      <c r="B27" s="16" t="s">
        <v>350</v>
      </c>
      <c r="C27" s="16" t="s">
        <v>30</v>
      </c>
      <c r="D27" s="16" t="s">
        <v>351</v>
      </c>
      <c r="E27" s="16" t="s">
        <v>352</v>
      </c>
      <c r="F27" s="16" t="s">
        <v>353</v>
      </c>
      <c r="H27" s="27"/>
      <c r="I27" s="27"/>
      <c r="M27" s="27">
        <f t="shared" si="2"/>
        <v>0</v>
      </c>
      <c r="N27" s="27">
        <f t="shared" si="3"/>
        <v>0</v>
      </c>
    </row>
    <row r="28" spans="1:22" x14ac:dyDescent="0.25">
      <c r="B28" s="16" t="s">
        <v>88</v>
      </c>
      <c r="C28" s="16" t="s">
        <v>1</v>
      </c>
      <c r="D28" s="17">
        <v>4</v>
      </c>
      <c r="E28" s="16" t="s">
        <v>402</v>
      </c>
      <c r="F28" s="18" t="s">
        <v>361</v>
      </c>
      <c r="H28" s="27">
        <f>IF(D28&gt;0,VLOOKUP(F28,$V$2:$X$10,3,0)*D28,0)</f>
        <v>0</v>
      </c>
      <c r="I28" s="27">
        <f t="shared" si="1"/>
        <v>0</v>
      </c>
      <c r="M28" s="27">
        <f t="shared" si="2"/>
        <v>0</v>
      </c>
      <c r="N28" s="27">
        <f t="shared" si="3"/>
        <v>0</v>
      </c>
    </row>
    <row r="29" spans="1:22" x14ac:dyDescent="0.25">
      <c r="B29" s="16" t="s">
        <v>130</v>
      </c>
      <c r="C29" s="16" t="s">
        <v>399</v>
      </c>
      <c r="D29" s="17">
        <v>4</v>
      </c>
      <c r="E29" s="16" t="s">
        <v>401</v>
      </c>
      <c r="F29" s="18" t="s">
        <v>384</v>
      </c>
      <c r="H29" s="27">
        <f>IF(D29&gt;0,VLOOKUP(F29,$V$2:$X$10,3,0)*D29,0)</f>
        <v>4</v>
      </c>
      <c r="I29" s="27">
        <f t="shared" si="1"/>
        <v>4</v>
      </c>
      <c r="M29" s="27">
        <f t="shared" si="2"/>
        <v>4</v>
      </c>
      <c r="N29" s="27">
        <f t="shared" si="3"/>
        <v>4</v>
      </c>
    </row>
    <row r="30" spans="1:22" x14ac:dyDescent="0.25">
      <c r="B30" s="16" t="s">
        <v>102</v>
      </c>
      <c r="C30" s="16" t="s">
        <v>19</v>
      </c>
      <c r="D30" s="17">
        <v>3</v>
      </c>
      <c r="E30" s="16" t="s">
        <v>403</v>
      </c>
      <c r="F30" s="18" t="s">
        <v>404</v>
      </c>
      <c r="H30" s="27">
        <f>IF(D30&gt;0,VLOOKUP(F30,$V$2:$X$10,3,0)*D30,0)</f>
        <v>6</v>
      </c>
      <c r="I30" s="27">
        <f t="shared" si="1"/>
        <v>3</v>
      </c>
      <c r="M30" s="27">
        <f t="shared" si="2"/>
        <v>6</v>
      </c>
      <c r="N30" s="27">
        <f t="shared" si="3"/>
        <v>3</v>
      </c>
    </row>
    <row r="31" spans="1:22" x14ac:dyDescent="0.25">
      <c r="A31" s="16" t="s">
        <v>440</v>
      </c>
      <c r="D31" s="16" t="s">
        <v>405</v>
      </c>
      <c r="F31" s="18"/>
      <c r="H31" s="27"/>
      <c r="I31" s="27"/>
      <c r="M31" s="27">
        <f t="shared" si="2"/>
        <v>0</v>
      </c>
      <c r="N31" s="27">
        <f t="shared" si="3"/>
        <v>0</v>
      </c>
    </row>
    <row r="32" spans="1:22" x14ac:dyDescent="0.25">
      <c r="F32" s="18"/>
      <c r="H32" s="27"/>
      <c r="I32" s="27"/>
      <c r="M32" s="27">
        <f t="shared" si="2"/>
        <v>0</v>
      </c>
      <c r="N32" s="27">
        <f t="shared" si="3"/>
        <v>0</v>
      </c>
    </row>
    <row r="33" spans="1:14" x14ac:dyDescent="0.25">
      <c r="A33" s="23" t="s">
        <v>397</v>
      </c>
      <c r="H33" s="27"/>
      <c r="I33" s="27"/>
      <c r="M33" s="27">
        <f t="shared" si="2"/>
        <v>0</v>
      </c>
      <c r="N33" s="27">
        <f t="shared" si="3"/>
        <v>0</v>
      </c>
    </row>
    <row r="34" spans="1:14" x14ac:dyDescent="0.25">
      <c r="B34" s="16" t="s">
        <v>350</v>
      </c>
      <c r="C34" s="16" t="s">
        <v>30</v>
      </c>
      <c r="D34" s="16" t="s">
        <v>351</v>
      </c>
      <c r="E34" s="16" t="s">
        <v>352</v>
      </c>
      <c r="F34" s="16" t="s">
        <v>353</v>
      </c>
      <c r="H34" s="27"/>
      <c r="I34" s="27"/>
      <c r="M34" s="27">
        <f t="shared" si="2"/>
        <v>0</v>
      </c>
      <c r="N34" s="27">
        <f t="shared" si="3"/>
        <v>0</v>
      </c>
    </row>
    <row r="35" spans="1:14" x14ac:dyDescent="0.25">
      <c r="B35" s="16" t="s">
        <v>113</v>
      </c>
      <c r="C35" s="16" t="s">
        <v>114</v>
      </c>
      <c r="D35" s="17">
        <v>0</v>
      </c>
      <c r="E35" s="16" t="s">
        <v>406</v>
      </c>
      <c r="F35" s="16" t="s">
        <v>359</v>
      </c>
      <c r="H35" s="27">
        <f>IF(D35&gt;0,VLOOKUP(F35,$V$2:$X$10,3,0)*D35,0)</f>
        <v>0</v>
      </c>
      <c r="I35" s="27">
        <f t="shared" si="1"/>
        <v>0</v>
      </c>
      <c r="M35" s="27">
        <f t="shared" si="2"/>
        <v>0</v>
      </c>
      <c r="N35" s="27">
        <f t="shared" si="3"/>
        <v>0</v>
      </c>
    </row>
    <row r="36" spans="1:14" x14ac:dyDescent="0.25">
      <c r="B36" s="16" t="s">
        <v>107</v>
      </c>
      <c r="C36" s="16" t="s">
        <v>394</v>
      </c>
      <c r="D36" s="17">
        <v>4</v>
      </c>
      <c r="E36" s="16" t="s">
        <v>439</v>
      </c>
      <c r="F36" s="16" t="s">
        <v>361</v>
      </c>
      <c r="H36" s="27">
        <f>IF(D36&gt;0,VLOOKUP(F36,$V$2:$X$10,3,0)*D36,0)</f>
        <v>0</v>
      </c>
      <c r="I36" s="27">
        <f t="shared" si="1"/>
        <v>0</v>
      </c>
      <c r="M36" s="27">
        <f t="shared" si="2"/>
        <v>0</v>
      </c>
      <c r="N36" s="27">
        <f t="shared" si="3"/>
        <v>0</v>
      </c>
    </row>
    <row r="37" spans="1:14" x14ac:dyDescent="0.25">
      <c r="B37" s="16" t="s">
        <v>103</v>
      </c>
      <c r="C37" s="16" t="s">
        <v>395</v>
      </c>
      <c r="D37" s="17">
        <v>4</v>
      </c>
      <c r="E37" s="16" t="s">
        <v>368</v>
      </c>
      <c r="F37" s="16" t="s">
        <v>359</v>
      </c>
      <c r="H37" s="27">
        <f>IF(D37&gt;0,VLOOKUP(F37,$V$2:$X$10,3,0)*D37,0)</f>
        <v>8</v>
      </c>
      <c r="I37" s="27">
        <f t="shared" si="1"/>
        <v>4</v>
      </c>
      <c r="M37" s="27">
        <f t="shared" si="2"/>
        <v>8</v>
      </c>
      <c r="N37" s="27">
        <f t="shared" si="3"/>
        <v>4</v>
      </c>
    </row>
    <row r="38" spans="1:14" x14ac:dyDescent="0.25">
      <c r="B38" s="16" t="s">
        <v>106</v>
      </c>
      <c r="C38" s="16" t="s">
        <v>396</v>
      </c>
      <c r="D38" s="17">
        <v>3</v>
      </c>
      <c r="E38" s="16" t="s">
        <v>383</v>
      </c>
      <c r="F38" s="16" t="s">
        <v>384</v>
      </c>
      <c r="H38" s="27">
        <f>IF(D38&gt;0,VLOOKUP(F38,$V$2:$X$10,3,0)*D38,0)</f>
        <v>3</v>
      </c>
      <c r="I38" s="27">
        <f t="shared" si="1"/>
        <v>3</v>
      </c>
      <c r="M38" s="27">
        <f t="shared" si="2"/>
        <v>3</v>
      </c>
      <c r="N38" s="27">
        <f t="shared" si="3"/>
        <v>3</v>
      </c>
    </row>
    <row r="39" spans="1:14" x14ac:dyDescent="0.25">
      <c r="B39" s="16" t="s">
        <v>43</v>
      </c>
      <c r="C39" s="16" t="s">
        <v>9</v>
      </c>
      <c r="D39" s="17">
        <v>4</v>
      </c>
      <c r="E39" s="16" t="s">
        <v>406</v>
      </c>
      <c r="F39" s="16" t="s">
        <v>359</v>
      </c>
      <c r="H39" s="27">
        <f>IF(D39&gt;0,VLOOKUP(F39,$V$2:$X$10,3,0)*D39,0)</f>
        <v>8</v>
      </c>
      <c r="I39" s="27">
        <f t="shared" si="1"/>
        <v>4</v>
      </c>
      <c r="M39" s="27">
        <f t="shared" si="2"/>
        <v>8</v>
      </c>
      <c r="N39" s="27">
        <f t="shared" si="3"/>
        <v>4</v>
      </c>
    </row>
    <row r="40" spans="1:14" x14ac:dyDescent="0.25">
      <c r="A40" s="16" t="s">
        <v>440</v>
      </c>
      <c r="D40" s="16" t="s">
        <v>405</v>
      </c>
      <c r="H40" s="27"/>
      <c r="I40" s="27"/>
    </row>
    <row r="41" spans="1:14" x14ac:dyDescent="0.25">
      <c r="H41" s="27"/>
      <c r="I41" s="27"/>
    </row>
    <row r="42" spans="1:14" x14ac:dyDescent="0.25">
      <c r="A42" s="23" t="s">
        <v>441</v>
      </c>
      <c r="H42" s="27"/>
      <c r="I42" s="27"/>
    </row>
    <row r="43" spans="1:14" x14ac:dyDescent="0.25">
      <c r="A43" s="23"/>
      <c r="B43" s="16" t="s">
        <v>350</v>
      </c>
      <c r="C43" s="16" t="s">
        <v>30</v>
      </c>
      <c r="D43" s="16" t="s">
        <v>351</v>
      </c>
      <c r="E43" s="16" t="s">
        <v>352</v>
      </c>
      <c r="F43" s="16" t="s">
        <v>353</v>
      </c>
      <c r="H43" s="27"/>
      <c r="I43" s="27"/>
    </row>
    <row r="44" spans="1:14" x14ac:dyDescent="0.25">
      <c r="A44" s="23"/>
      <c r="B44" s="16" t="s">
        <v>131</v>
      </c>
      <c r="C44" s="16" t="s">
        <v>132</v>
      </c>
      <c r="D44" s="17">
        <v>0</v>
      </c>
      <c r="H44" s="27"/>
      <c r="I44" s="27"/>
    </row>
    <row r="45" spans="1:14" x14ac:dyDescent="0.25">
      <c r="B45" s="16" t="s">
        <v>124</v>
      </c>
      <c r="C45" s="16" t="s">
        <v>125</v>
      </c>
      <c r="D45" s="17">
        <v>3</v>
      </c>
      <c r="H45" s="27"/>
      <c r="I45" s="27"/>
    </row>
    <row r="46" spans="1:14" x14ac:dyDescent="0.25">
      <c r="B46" s="16" t="s">
        <v>127</v>
      </c>
      <c r="C46" s="16" t="s">
        <v>442</v>
      </c>
      <c r="D46" s="17">
        <v>3</v>
      </c>
      <c r="H46" s="27"/>
      <c r="I46" s="27"/>
    </row>
    <row r="47" spans="1:14" x14ac:dyDescent="0.25">
      <c r="B47" s="16" t="s">
        <v>88</v>
      </c>
      <c r="C47" s="16" t="s">
        <v>1</v>
      </c>
      <c r="D47" s="17">
        <v>4</v>
      </c>
      <c r="H47" s="27"/>
      <c r="I47" s="27"/>
    </row>
    <row r="48" spans="1:14" x14ac:dyDescent="0.25">
      <c r="B48" s="16" t="s">
        <v>226</v>
      </c>
      <c r="C48" s="16" t="s">
        <v>444</v>
      </c>
      <c r="D48" s="17">
        <v>2</v>
      </c>
      <c r="H48" s="27"/>
      <c r="I48" s="27"/>
    </row>
    <row r="49" spans="2:16" x14ac:dyDescent="0.25">
      <c r="B49" s="16" t="s">
        <v>123</v>
      </c>
      <c r="C49" s="16" t="s">
        <v>443</v>
      </c>
      <c r="D49" s="17">
        <v>2</v>
      </c>
      <c r="H49" s="27"/>
      <c r="I49" s="27"/>
    </row>
    <row r="50" spans="2:16" x14ac:dyDescent="0.25">
      <c r="H50" s="27"/>
      <c r="I50" s="27"/>
    </row>
    <row r="51" spans="2:16" x14ac:dyDescent="0.25">
      <c r="H51" s="27"/>
      <c r="I51" s="27"/>
      <c r="P51" s="16" t="s">
        <v>436</v>
      </c>
    </row>
    <row r="52" spans="2:16" x14ac:dyDescent="0.25">
      <c r="H52" s="27"/>
      <c r="I52" s="27"/>
    </row>
    <row r="53" spans="2:16" x14ac:dyDescent="0.25">
      <c r="H53" s="27"/>
      <c r="I53" s="27"/>
    </row>
    <row r="54" spans="2:16" x14ac:dyDescent="0.25">
      <c r="H54" s="27"/>
      <c r="I54" s="27"/>
    </row>
    <row r="55" spans="2:16" x14ac:dyDescent="0.25">
      <c r="H55" s="27"/>
      <c r="I55" s="27"/>
    </row>
    <row r="56" spans="2:16" x14ac:dyDescent="0.25">
      <c r="H56" s="27"/>
      <c r="I56" s="27"/>
    </row>
    <row r="57" spans="2:16" x14ac:dyDescent="0.25">
      <c r="H57" s="27"/>
      <c r="I57" s="27"/>
    </row>
    <row r="58" spans="2:16" x14ac:dyDescent="0.25">
      <c r="H58" s="27"/>
      <c r="I58" s="27"/>
    </row>
    <row r="59" spans="2:16" x14ac:dyDescent="0.25">
      <c r="H59" s="27"/>
      <c r="I59" s="27"/>
    </row>
    <row r="60" spans="2:16" x14ac:dyDescent="0.25">
      <c r="H60" s="27"/>
      <c r="I60" s="27"/>
    </row>
    <row r="61" spans="2:16" x14ac:dyDescent="0.25">
      <c r="H61" s="27"/>
      <c r="I61" s="27"/>
    </row>
    <row r="62" spans="2:16" x14ac:dyDescent="0.25">
      <c r="H62" s="27"/>
      <c r="I62" s="27"/>
    </row>
    <row r="63" spans="2:16" x14ac:dyDescent="0.25">
      <c r="H63" s="27"/>
      <c r="I63" s="27"/>
    </row>
    <row r="64" spans="2:16" x14ac:dyDescent="0.25">
      <c r="H64" s="27"/>
      <c r="I64" s="27"/>
    </row>
    <row r="65" spans="8:9" x14ac:dyDescent="0.25">
      <c r="H65" s="27"/>
      <c r="I65" s="27"/>
    </row>
    <row r="66" spans="8:9" x14ac:dyDescent="0.25">
      <c r="H66" s="27"/>
      <c r="I66" s="27"/>
    </row>
    <row r="67" spans="8:9" x14ac:dyDescent="0.25">
      <c r="H67" s="27"/>
      <c r="I67" s="27"/>
    </row>
    <row r="68" spans="8:9" x14ac:dyDescent="0.25">
      <c r="H68" s="27"/>
      <c r="I68" s="27"/>
    </row>
    <row r="69" spans="8:9" x14ac:dyDescent="0.25">
      <c r="H69" s="27"/>
      <c r="I69" s="27"/>
    </row>
    <row r="70" spans="8:9" x14ac:dyDescent="0.25">
      <c r="H70" s="27"/>
      <c r="I70" s="27"/>
    </row>
    <row r="71" spans="8:9" x14ac:dyDescent="0.25">
      <c r="H71" s="27"/>
      <c r="I71" s="27"/>
    </row>
    <row r="72" spans="8:9" x14ac:dyDescent="0.25">
      <c r="H72" s="27"/>
      <c r="I72" s="27"/>
    </row>
    <row r="73" spans="8:9" x14ac:dyDescent="0.25">
      <c r="H73" s="27"/>
      <c r="I73" s="27"/>
    </row>
    <row r="74" spans="8:9" x14ac:dyDescent="0.25">
      <c r="H74" s="27"/>
      <c r="I74" s="27"/>
    </row>
    <row r="75" spans="8:9" x14ac:dyDescent="0.25">
      <c r="H75" s="27"/>
      <c r="I75" s="27"/>
    </row>
    <row r="76" spans="8:9" x14ac:dyDescent="0.25">
      <c r="H76" s="27"/>
      <c r="I76" s="27"/>
    </row>
    <row r="77" spans="8:9" x14ac:dyDescent="0.25">
      <c r="H77" s="27"/>
      <c r="I77" s="27"/>
    </row>
    <row r="78" spans="8:9" x14ac:dyDescent="0.25">
      <c r="H78" s="27"/>
      <c r="I78" s="27"/>
    </row>
    <row r="79" spans="8:9" x14ac:dyDescent="0.25">
      <c r="H79" s="27"/>
      <c r="I79" s="27"/>
    </row>
    <row r="80" spans="8:9" x14ac:dyDescent="0.25">
      <c r="H80" s="27"/>
      <c r="I80" s="27"/>
    </row>
    <row r="81" spans="8:9" x14ac:dyDescent="0.25">
      <c r="H81" s="27"/>
      <c r="I81" s="27"/>
    </row>
    <row r="82" spans="8:9" x14ac:dyDescent="0.25">
      <c r="H82" s="27"/>
      <c r="I82" s="27"/>
    </row>
    <row r="83" spans="8:9" x14ac:dyDescent="0.25">
      <c r="H83" s="27"/>
      <c r="I83" s="27"/>
    </row>
    <row r="84" spans="8:9" x14ac:dyDescent="0.25">
      <c r="H84" s="27"/>
      <c r="I84" s="27"/>
    </row>
    <row r="85" spans="8:9" x14ac:dyDescent="0.25">
      <c r="H85" s="27"/>
      <c r="I85" s="27"/>
    </row>
    <row r="86" spans="8:9" x14ac:dyDescent="0.25">
      <c r="H86" s="27"/>
      <c r="I86" s="27"/>
    </row>
    <row r="87" spans="8:9" x14ac:dyDescent="0.25">
      <c r="H87" s="27"/>
      <c r="I87" s="27"/>
    </row>
    <row r="88" spans="8:9" x14ac:dyDescent="0.25">
      <c r="H88" s="27"/>
      <c r="I88" s="27"/>
    </row>
    <row r="89" spans="8:9" x14ac:dyDescent="0.25">
      <c r="H89" s="27"/>
      <c r="I89" s="27"/>
    </row>
    <row r="90" spans="8:9" x14ac:dyDescent="0.25">
      <c r="H90" s="27"/>
      <c r="I90" s="27"/>
    </row>
    <row r="91" spans="8:9" x14ac:dyDescent="0.25">
      <c r="H91" s="27"/>
      <c r="I91" s="27"/>
    </row>
    <row r="92" spans="8:9" x14ac:dyDescent="0.25">
      <c r="H92" s="27"/>
      <c r="I92" s="27"/>
    </row>
    <row r="93" spans="8:9" x14ac:dyDescent="0.25">
      <c r="H93" s="27"/>
      <c r="I93" s="27"/>
    </row>
    <row r="94" spans="8:9" x14ac:dyDescent="0.25">
      <c r="H94" s="27"/>
      <c r="I94" s="27"/>
    </row>
    <row r="95" spans="8:9" x14ac:dyDescent="0.25">
      <c r="H95" s="27"/>
      <c r="I95" s="27"/>
    </row>
    <row r="96" spans="8:9" x14ac:dyDescent="0.25">
      <c r="H96" s="27"/>
      <c r="I96" s="27"/>
    </row>
    <row r="97" spans="8:9" x14ac:dyDescent="0.25">
      <c r="H97" s="27"/>
      <c r="I97" s="27"/>
    </row>
    <row r="98" spans="8:9" x14ac:dyDescent="0.25">
      <c r="H98" s="27"/>
      <c r="I98" s="27"/>
    </row>
    <row r="99" spans="8:9" x14ac:dyDescent="0.25">
      <c r="H99" s="27"/>
      <c r="I99" s="27"/>
    </row>
    <row r="100" spans="8:9" x14ac:dyDescent="0.25">
      <c r="H100" s="27"/>
      <c r="I100" s="27"/>
    </row>
    <row r="101" spans="8:9" x14ac:dyDescent="0.25">
      <c r="H101" s="27"/>
      <c r="I101" s="27"/>
    </row>
    <row r="102" spans="8:9" x14ac:dyDescent="0.25">
      <c r="H102" s="27"/>
      <c r="I102" s="27"/>
    </row>
    <row r="103" spans="8:9" x14ac:dyDescent="0.25">
      <c r="H103" s="27"/>
      <c r="I103" s="27"/>
    </row>
    <row r="104" spans="8:9" x14ac:dyDescent="0.25">
      <c r="H104" s="27"/>
      <c r="I104" s="27"/>
    </row>
    <row r="105" spans="8:9" x14ac:dyDescent="0.25">
      <c r="H105" s="27"/>
      <c r="I105" s="27"/>
    </row>
    <row r="106" spans="8:9" x14ac:dyDescent="0.25">
      <c r="H106" s="27"/>
      <c r="I106" s="27"/>
    </row>
    <row r="107" spans="8:9" x14ac:dyDescent="0.25">
      <c r="H107" s="27"/>
      <c r="I107" s="27"/>
    </row>
    <row r="108" spans="8:9" x14ac:dyDescent="0.25">
      <c r="H108" s="27"/>
      <c r="I108" s="27"/>
    </row>
    <row r="109" spans="8:9" x14ac:dyDescent="0.25">
      <c r="H109" s="27"/>
      <c r="I109" s="27"/>
    </row>
    <row r="110" spans="8:9" x14ac:dyDescent="0.25">
      <c r="H110" s="27"/>
      <c r="I110" s="27"/>
    </row>
    <row r="111" spans="8:9" x14ac:dyDescent="0.25">
      <c r="H111" s="27"/>
      <c r="I111" s="27"/>
    </row>
    <row r="112" spans="8:9" x14ac:dyDescent="0.25">
      <c r="H112" s="27"/>
      <c r="I112" s="27"/>
    </row>
    <row r="113" spans="8:9" x14ac:dyDescent="0.25">
      <c r="H113" s="27"/>
      <c r="I113" s="27"/>
    </row>
    <row r="114" spans="8:9" x14ac:dyDescent="0.25">
      <c r="H114" s="27"/>
      <c r="I114" s="27"/>
    </row>
    <row r="115" spans="8:9" x14ac:dyDescent="0.25">
      <c r="H115" s="27"/>
      <c r="I115" s="27"/>
    </row>
    <row r="116" spans="8:9" x14ac:dyDescent="0.25">
      <c r="H116" s="27"/>
      <c r="I116" s="27"/>
    </row>
    <row r="117" spans="8:9" x14ac:dyDescent="0.25">
      <c r="H117" s="27"/>
      <c r="I117" s="27"/>
    </row>
    <row r="118" spans="8:9" x14ac:dyDescent="0.25">
      <c r="H118" s="27"/>
      <c r="I118" s="27"/>
    </row>
    <row r="119" spans="8:9" x14ac:dyDescent="0.25">
      <c r="H119" s="27"/>
      <c r="I119" s="27"/>
    </row>
    <row r="120" spans="8:9" x14ac:dyDescent="0.25">
      <c r="H120" s="27"/>
      <c r="I120" s="27"/>
    </row>
    <row r="121" spans="8:9" x14ac:dyDescent="0.25">
      <c r="H121" s="27"/>
      <c r="I121" s="27"/>
    </row>
    <row r="122" spans="8:9" x14ac:dyDescent="0.25">
      <c r="H122" s="27"/>
      <c r="I122" s="27"/>
    </row>
    <row r="123" spans="8:9" x14ac:dyDescent="0.25">
      <c r="H123" s="27"/>
      <c r="I123" s="27"/>
    </row>
    <row r="124" spans="8:9" x14ac:dyDescent="0.25">
      <c r="H124" s="27"/>
      <c r="I124" s="27"/>
    </row>
    <row r="125" spans="8:9" x14ac:dyDescent="0.25">
      <c r="H125" s="27"/>
      <c r="I125" s="27"/>
    </row>
    <row r="126" spans="8:9" x14ac:dyDescent="0.25">
      <c r="H126" s="27"/>
      <c r="I126" s="27"/>
    </row>
    <row r="127" spans="8:9" x14ac:dyDescent="0.25">
      <c r="H127" s="27"/>
      <c r="I127" s="27"/>
    </row>
    <row r="128" spans="8:9" x14ac:dyDescent="0.25">
      <c r="H128" s="27"/>
      <c r="I128" s="27"/>
    </row>
    <row r="129" spans="8:9" x14ac:dyDescent="0.25">
      <c r="H129" s="27"/>
      <c r="I129" s="27"/>
    </row>
    <row r="130" spans="8:9" x14ac:dyDescent="0.25">
      <c r="H130" s="27"/>
      <c r="I130" s="27"/>
    </row>
    <row r="131" spans="8:9" x14ac:dyDescent="0.25">
      <c r="H131" s="27"/>
      <c r="I131" s="27"/>
    </row>
    <row r="132" spans="8:9" x14ac:dyDescent="0.25">
      <c r="H132" s="27"/>
      <c r="I132" s="27"/>
    </row>
    <row r="133" spans="8:9" x14ac:dyDescent="0.25">
      <c r="H133" s="27"/>
      <c r="I133" s="27"/>
    </row>
    <row r="134" spans="8:9" x14ac:dyDescent="0.25">
      <c r="H134" s="27"/>
      <c r="I134" s="27"/>
    </row>
    <row r="135" spans="8:9" x14ac:dyDescent="0.25">
      <c r="H135" s="27"/>
      <c r="I135" s="27"/>
    </row>
    <row r="136" spans="8:9" x14ac:dyDescent="0.25">
      <c r="H136" s="27"/>
      <c r="I136" s="27"/>
    </row>
    <row r="137" spans="8:9" x14ac:dyDescent="0.25">
      <c r="H137" s="27"/>
      <c r="I137" s="27"/>
    </row>
    <row r="138" spans="8:9" x14ac:dyDescent="0.25">
      <c r="H138" s="27"/>
      <c r="I138" s="27"/>
    </row>
    <row r="139" spans="8:9" x14ac:dyDescent="0.25">
      <c r="H139" s="27"/>
      <c r="I139" s="27"/>
    </row>
    <row r="140" spans="8:9" x14ac:dyDescent="0.25">
      <c r="H140" s="27"/>
      <c r="I140" s="27"/>
    </row>
    <row r="141" spans="8:9" x14ac:dyDescent="0.25">
      <c r="H141" s="27"/>
      <c r="I141" s="27"/>
    </row>
    <row r="142" spans="8:9" x14ac:dyDescent="0.25">
      <c r="H142" s="27"/>
      <c r="I142" s="27"/>
    </row>
    <row r="143" spans="8:9" x14ac:dyDescent="0.25">
      <c r="H143" s="27"/>
      <c r="I143" s="27"/>
    </row>
    <row r="144" spans="8:9" x14ac:dyDescent="0.25">
      <c r="H144" s="27"/>
      <c r="I144" s="27"/>
    </row>
    <row r="145" spans="8:9" x14ac:dyDescent="0.25">
      <c r="H145" s="27"/>
      <c r="I145" s="27"/>
    </row>
    <row r="146" spans="8:9" x14ac:dyDescent="0.25">
      <c r="H146" s="27"/>
      <c r="I146" s="27"/>
    </row>
    <row r="147" spans="8:9" x14ac:dyDescent="0.25">
      <c r="H147" s="27"/>
      <c r="I147" s="27"/>
    </row>
    <row r="148" spans="8:9" x14ac:dyDescent="0.25">
      <c r="H148" s="27"/>
      <c r="I148" s="27"/>
    </row>
    <row r="149" spans="8:9" x14ac:dyDescent="0.25">
      <c r="H149" s="27"/>
      <c r="I149" s="27"/>
    </row>
    <row r="150" spans="8:9" x14ac:dyDescent="0.25">
      <c r="H150" s="27"/>
      <c r="I150" s="27"/>
    </row>
    <row r="151" spans="8:9" x14ac:dyDescent="0.25">
      <c r="H151" s="27"/>
      <c r="I151" s="27"/>
    </row>
    <row r="152" spans="8:9" x14ac:dyDescent="0.25">
      <c r="H152" s="27"/>
      <c r="I152" s="27"/>
    </row>
    <row r="153" spans="8:9" x14ac:dyDescent="0.25">
      <c r="H153" s="27"/>
      <c r="I153" s="27"/>
    </row>
    <row r="154" spans="8:9" x14ac:dyDescent="0.25">
      <c r="H154" s="27"/>
      <c r="I154" s="27"/>
    </row>
    <row r="155" spans="8:9" x14ac:dyDescent="0.25">
      <c r="H155" s="27"/>
      <c r="I155" s="27"/>
    </row>
    <row r="156" spans="8:9" x14ac:dyDescent="0.25">
      <c r="H156" s="27"/>
      <c r="I156" s="27"/>
    </row>
    <row r="157" spans="8:9" x14ac:dyDescent="0.25">
      <c r="H157" s="27"/>
      <c r="I157" s="27"/>
    </row>
    <row r="158" spans="8:9" x14ac:dyDescent="0.25">
      <c r="H158" s="27"/>
      <c r="I158" s="27"/>
    </row>
    <row r="159" spans="8:9" x14ac:dyDescent="0.25">
      <c r="H159" s="27"/>
      <c r="I159" s="27"/>
    </row>
    <row r="160" spans="8:9" x14ac:dyDescent="0.25">
      <c r="H160" s="27"/>
      <c r="I160" s="27"/>
    </row>
    <row r="161" spans="8:9" x14ac:dyDescent="0.25">
      <c r="H161" s="27"/>
      <c r="I161" s="27"/>
    </row>
    <row r="162" spans="8:9" x14ac:dyDescent="0.25">
      <c r="H162" s="27"/>
      <c r="I162" s="27"/>
    </row>
    <row r="163" spans="8:9" x14ac:dyDescent="0.25">
      <c r="H163" s="27"/>
      <c r="I163" s="27"/>
    </row>
    <row r="164" spans="8:9" x14ac:dyDescent="0.25">
      <c r="H164" s="27"/>
      <c r="I164" s="27"/>
    </row>
    <row r="165" spans="8:9" x14ac:dyDescent="0.25">
      <c r="H165" s="27"/>
      <c r="I165" s="27"/>
    </row>
    <row r="166" spans="8:9" x14ac:dyDescent="0.25">
      <c r="H166" s="27"/>
      <c r="I166" s="27"/>
    </row>
    <row r="167" spans="8:9" x14ac:dyDescent="0.25">
      <c r="H167" s="27"/>
      <c r="I167" s="27"/>
    </row>
    <row r="168" spans="8:9" x14ac:dyDescent="0.25">
      <c r="H168" s="27"/>
      <c r="I168" s="27"/>
    </row>
    <row r="169" spans="8:9" x14ac:dyDescent="0.25">
      <c r="H169" s="27"/>
      <c r="I169" s="27"/>
    </row>
    <row r="170" spans="8:9" x14ac:dyDescent="0.25">
      <c r="H170" s="27"/>
      <c r="I170" s="27"/>
    </row>
    <row r="171" spans="8:9" x14ac:dyDescent="0.25">
      <c r="H171" s="27"/>
      <c r="I171" s="27"/>
    </row>
    <row r="172" spans="8:9" x14ac:dyDescent="0.25">
      <c r="H172" s="27"/>
      <c r="I172" s="27"/>
    </row>
    <row r="173" spans="8:9" x14ac:dyDescent="0.25">
      <c r="H173" s="27"/>
      <c r="I173" s="27"/>
    </row>
    <row r="174" spans="8:9" x14ac:dyDescent="0.25">
      <c r="H174" s="27"/>
      <c r="I174" s="27"/>
    </row>
    <row r="175" spans="8:9" x14ac:dyDescent="0.25">
      <c r="H175" s="27"/>
      <c r="I175" s="27"/>
    </row>
    <row r="176" spans="8:9" x14ac:dyDescent="0.25">
      <c r="H176" s="27"/>
      <c r="I176" s="27"/>
    </row>
    <row r="177" spans="8:9" x14ac:dyDescent="0.25">
      <c r="H177" s="27"/>
      <c r="I177" s="27"/>
    </row>
    <row r="178" spans="8:9" x14ac:dyDescent="0.25">
      <c r="H178" s="27"/>
      <c r="I178" s="27"/>
    </row>
    <row r="179" spans="8:9" x14ac:dyDescent="0.25">
      <c r="H179" s="27"/>
      <c r="I179" s="27"/>
    </row>
    <row r="180" spans="8:9" x14ac:dyDescent="0.25">
      <c r="H180" s="27"/>
      <c r="I180" s="27"/>
    </row>
  </sheetData>
  <phoneticPr fontId="25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O9" sqref="O9"/>
    </sheetView>
  </sheetViews>
  <sheetFormatPr defaultRowHeight="13.2" x14ac:dyDescent="0.25"/>
  <cols>
    <col min="2" max="2" width="13.5546875" bestFit="1" customWidth="1"/>
    <col min="3" max="3" width="35.33203125" bestFit="1" customWidth="1"/>
    <col min="4" max="4" width="8.6640625" bestFit="1" customWidth="1"/>
    <col min="5" max="5" width="8.109375" bestFit="1" customWidth="1"/>
    <col min="6" max="6" width="10.109375" bestFit="1" customWidth="1"/>
    <col min="7" max="7" width="11.44140625" bestFit="1" customWidth="1"/>
    <col min="8" max="8" width="10.6640625" bestFit="1" customWidth="1"/>
    <col min="9" max="9" width="8" bestFit="1" customWidth="1"/>
    <col min="10" max="10" width="9.33203125" bestFit="1" customWidth="1"/>
    <col min="11" max="11" width="12" bestFit="1" customWidth="1"/>
    <col min="17" max="17" width="6.88671875" bestFit="1" customWidth="1"/>
  </cols>
  <sheetData>
    <row r="1" spans="1:18" x14ac:dyDescent="0.25">
      <c r="K1" s="35" t="s">
        <v>470</v>
      </c>
      <c r="L1" s="31" t="s">
        <v>471</v>
      </c>
      <c r="M1" s="31"/>
      <c r="N1" s="31"/>
    </row>
    <row r="2" spans="1:18" x14ac:dyDescent="0.25">
      <c r="A2" s="29"/>
      <c r="B2" s="28" t="s">
        <v>445</v>
      </c>
      <c r="C2" s="28" t="s">
        <v>30</v>
      </c>
      <c r="D2" s="28" t="s">
        <v>31</v>
      </c>
      <c r="E2" s="28" t="s">
        <v>446</v>
      </c>
      <c r="F2" s="28" t="s">
        <v>352</v>
      </c>
      <c r="G2" s="28" t="s">
        <v>353</v>
      </c>
      <c r="H2" s="28" t="s">
        <v>447</v>
      </c>
      <c r="I2" s="31" t="s">
        <v>462</v>
      </c>
      <c r="J2" s="28" t="s">
        <v>469</v>
      </c>
      <c r="K2" s="34">
        <f>SUM(K3:K40)/SUM(I3:I40)</f>
        <v>1.6311475409836065</v>
      </c>
      <c r="P2" s="31" t="s">
        <v>475</v>
      </c>
      <c r="Q2" s="28" t="s">
        <v>463</v>
      </c>
      <c r="R2" s="30" t="e">
        <f>SUM(Q3:Q31)/SUM(#REF!)</f>
        <v>#REF!</v>
      </c>
    </row>
    <row r="3" spans="1:18" x14ac:dyDescent="0.25">
      <c r="A3" s="29" t="s">
        <v>453</v>
      </c>
      <c r="B3" s="28" t="s">
        <v>44</v>
      </c>
      <c r="C3" s="28" t="s">
        <v>365</v>
      </c>
      <c r="D3" s="32">
        <v>3</v>
      </c>
      <c r="E3" s="28" t="s">
        <v>448</v>
      </c>
      <c r="F3" s="28" t="s">
        <v>366</v>
      </c>
      <c r="G3" s="28" t="s">
        <v>367</v>
      </c>
      <c r="H3" s="28"/>
      <c r="I3">
        <f>D3</f>
        <v>3</v>
      </c>
      <c r="J3" s="33" t="str">
        <f>VLOOKUP(VALUE(CONCATENATE(LEFT(F3,1),",",RIGHT(F3))),'KQ-hoctap'!$T$2:$X$10,4,1)</f>
        <v>3.0</v>
      </c>
      <c r="K3" s="36">
        <f>IF(ISBLANK(J3),0,VALUE(CONCATENATE(LEFT(J3,1),",",RIGHT(J3,1))))*I3</f>
        <v>9</v>
      </c>
      <c r="P3" t="e">
        <f>#REF!</f>
        <v>#REF!</v>
      </c>
      <c r="Q3" t="e">
        <f>VALUE(CONCATENATE(LEFT(J3,1),",",RIGHT(J3,1)))*#REF!</f>
        <v>#REF!</v>
      </c>
    </row>
    <row r="4" spans="1:18" x14ac:dyDescent="0.25">
      <c r="A4" s="29" t="s">
        <v>453</v>
      </c>
      <c r="B4" s="28" t="s">
        <v>47</v>
      </c>
      <c r="C4" s="28" t="s">
        <v>48</v>
      </c>
      <c r="D4" s="32">
        <v>3</v>
      </c>
      <c r="E4" s="28" t="s">
        <v>448</v>
      </c>
      <c r="F4" s="28" t="s">
        <v>368</v>
      </c>
      <c r="G4" s="28" t="s">
        <v>359</v>
      </c>
      <c r="H4" s="28"/>
      <c r="I4">
        <f>D4</f>
        <v>3</v>
      </c>
      <c r="J4" s="33" t="str">
        <f>VLOOKUP(VALUE(CONCATENATE(LEFT(F4,1),",",RIGHT(F4))),'KQ-hoctap'!$T$2:$X$10,4,1)</f>
        <v>2.0</v>
      </c>
      <c r="K4" s="36">
        <f>IF(ISBLANK(J4),0,VALUE(CONCATENATE(LEFT(J4,1),",",RIGHT(J4,1))))*I4</f>
        <v>6</v>
      </c>
      <c r="P4" t="e">
        <f>#REF!</f>
        <v>#REF!</v>
      </c>
      <c r="Q4" t="e">
        <f>VALUE(CONCATENATE(LEFT(J4,1),",",RIGHT(J4,1)))*#REF!</f>
        <v>#REF!</v>
      </c>
    </row>
    <row r="5" spans="1:18" x14ac:dyDescent="0.25">
      <c r="A5" s="29" t="s">
        <v>453</v>
      </c>
      <c r="B5" s="28" t="s">
        <v>50</v>
      </c>
      <c r="C5" s="28" t="s">
        <v>51</v>
      </c>
      <c r="D5" s="32">
        <v>0</v>
      </c>
      <c r="E5" s="28" t="s">
        <v>448</v>
      </c>
      <c r="F5" s="28" t="s">
        <v>356</v>
      </c>
      <c r="G5" s="28" t="s">
        <v>357</v>
      </c>
      <c r="H5" s="28"/>
      <c r="J5" s="33"/>
      <c r="K5" s="36"/>
    </row>
    <row r="6" spans="1:18" x14ac:dyDescent="0.25">
      <c r="A6" s="29" t="s">
        <v>453</v>
      </c>
      <c r="B6" s="28" t="s">
        <v>41</v>
      </c>
      <c r="C6" s="28" t="s">
        <v>42</v>
      </c>
      <c r="D6" s="32">
        <v>4</v>
      </c>
      <c r="E6" s="28" t="s">
        <v>449</v>
      </c>
      <c r="F6" s="28" t="s">
        <v>358</v>
      </c>
      <c r="G6" s="28" t="s">
        <v>359</v>
      </c>
      <c r="H6" s="28"/>
      <c r="I6">
        <f>D6</f>
        <v>4</v>
      </c>
      <c r="J6" s="33" t="str">
        <f>VLOOKUP(VALUE(CONCATENATE(LEFT(F6,1),",",RIGHT(F6))),'KQ-hoctap'!$T$2:$X$10,4,1)</f>
        <v>2.0</v>
      </c>
      <c r="K6" s="36">
        <f>IF(ISBLANK(J6),0,VALUE(CONCATENATE(LEFT(J6,1),",",RIGHT(J6,1))))*I6</f>
        <v>8</v>
      </c>
      <c r="P6" t="e">
        <f>#REF!</f>
        <v>#REF!</v>
      </c>
      <c r="Q6" t="e">
        <f>VALUE(CONCATENATE(LEFT(J6,1),",",RIGHT(J6,1)))*#REF!</f>
        <v>#REF!</v>
      </c>
    </row>
    <row r="7" spans="1:18" x14ac:dyDescent="0.25">
      <c r="A7" s="29" t="s">
        <v>453</v>
      </c>
      <c r="B7" s="28" t="s">
        <v>362</v>
      </c>
      <c r="C7" s="28" t="s">
        <v>363</v>
      </c>
      <c r="D7" s="32">
        <v>0</v>
      </c>
      <c r="E7" s="28" t="s">
        <v>450</v>
      </c>
      <c r="F7" s="28" t="s">
        <v>364</v>
      </c>
      <c r="G7" s="28" t="s">
        <v>359</v>
      </c>
      <c r="H7" s="28"/>
      <c r="J7" s="33"/>
      <c r="K7" s="36"/>
    </row>
    <row r="8" spans="1:18" x14ac:dyDescent="0.25">
      <c r="A8" s="29" t="s">
        <v>453</v>
      </c>
      <c r="B8" s="28" t="s">
        <v>43</v>
      </c>
      <c r="C8" s="28" t="s">
        <v>9</v>
      </c>
      <c r="D8" s="32">
        <v>4</v>
      </c>
      <c r="E8" s="28" t="s">
        <v>449</v>
      </c>
      <c r="F8" s="28" t="s">
        <v>360</v>
      </c>
      <c r="G8" s="28" t="s">
        <v>361</v>
      </c>
      <c r="H8" s="28" t="s">
        <v>380</v>
      </c>
      <c r="I8">
        <f>D8</f>
        <v>4</v>
      </c>
      <c r="J8" s="33"/>
      <c r="K8" s="36">
        <f>IF(ISBLANK(J8),0,VALUE(CONCATENATE(LEFT(J8,1),",",RIGHT(J8,1))))*I8</f>
        <v>0</v>
      </c>
    </row>
    <row r="9" spans="1:18" x14ac:dyDescent="0.25">
      <c r="A9" s="29" t="s">
        <v>453</v>
      </c>
      <c r="B9" s="28" t="s">
        <v>53</v>
      </c>
      <c r="C9" s="28" t="s">
        <v>54</v>
      </c>
      <c r="D9" s="32">
        <v>0</v>
      </c>
      <c r="E9" s="28" t="s">
        <v>451</v>
      </c>
      <c r="F9" s="28" t="s">
        <v>354</v>
      </c>
      <c r="G9" s="28" t="s">
        <v>355</v>
      </c>
      <c r="H9" s="28"/>
      <c r="J9" s="33"/>
      <c r="K9" s="36"/>
      <c r="O9" s="31"/>
    </row>
    <row r="10" spans="1:18" x14ac:dyDescent="0.25">
      <c r="A10" s="29" t="s">
        <v>453</v>
      </c>
      <c r="B10" s="28" t="s">
        <v>369</v>
      </c>
      <c r="C10" s="28" t="s">
        <v>370</v>
      </c>
      <c r="D10" s="32">
        <v>0</v>
      </c>
      <c r="E10" s="28" t="s">
        <v>452</v>
      </c>
      <c r="F10" s="28" t="s">
        <v>371</v>
      </c>
      <c r="G10" s="28" t="s">
        <v>372</v>
      </c>
      <c r="H10" s="28"/>
      <c r="J10" s="33"/>
      <c r="K10" s="36"/>
    </row>
    <row r="11" spans="1:18" x14ac:dyDescent="0.25">
      <c r="A11" s="29" t="s">
        <v>464</v>
      </c>
      <c r="B11" s="28" t="s">
        <v>373</v>
      </c>
      <c r="C11" s="28" t="s">
        <v>374</v>
      </c>
      <c r="D11" s="32"/>
      <c r="E11" s="28"/>
      <c r="F11" s="28"/>
      <c r="G11" s="28"/>
      <c r="H11" s="28"/>
      <c r="J11" s="33"/>
      <c r="K11" s="36"/>
      <c r="L11" s="18">
        <f>SUM(K3:K10)/SUM(I3:I10)</f>
        <v>1.6428571428571428</v>
      </c>
      <c r="M11" s="18"/>
      <c r="N11" s="18"/>
      <c r="R11" t="e">
        <f>SUM(Q3:Q10)/SUM(#REF!)</f>
        <v>#REF!</v>
      </c>
    </row>
    <row r="12" spans="1:18" x14ac:dyDescent="0.25">
      <c r="A12" s="29" t="s">
        <v>456</v>
      </c>
      <c r="B12" s="28" t="s">
        <v>90</v>
      </c>
      <c r="C12" s="28" t="s">
        <v>382</v>
      </c>
      <c r="D12" s="32">
        <v>4</v>
      </c>
      <c r="E12" s="28" t="s">
        <v>448</v>
      </c>
      <c r="F12" s="28" t="s">
        <v>381</v>
      </c>
      <c r="G12" s="28" t="s">
        <v>357</v>
      </c>
      <c r="H12" s="28"/>
      <c r="I12">
        <f>D12</f>
        <v>4</v>
      </c>
      <c r="J12" s="33" t="str">
        <f>VLOOKUP(VALUE(CONCATENATE(LEFT(F12,1),",",RIGHT(F12))),'KQ-hoctap'!$T$2:$X$10,4,1)</f>
        <v>1.5</v>
      </c>
      <c r="K12" s="36">
        <f>IF(ISBLANK(J12),0,VALUE(CONCATENATE(LEFT(J12,1),",",RIGHT(J12,1))))*I12</f>
        <v>6</v>
      </c>
      <c r="P12" t="e">
        <f>#REF!</f>
        <v>#REF!</v>
      </c>
      <c r="Q12" t="e">
        <f>VALUE(CONCATENATE(LEFT(J12,1),",",RIGHT(J12,1)))*#REF!</f>
        <v>#REF!</v>
      </c>
    </row>
    <row r="13" spans="1:18" x14ac:dyDescent="0.25">
      <c r="A13" s="29" t="s">
        <v>456</v>
      </c>
      <c r="B13" s="28" t="s">
        <v>91</v>
      </c>
      <c r="C13" s="28" t="s">
        <v>387</v>
      </c>
      <c r="D13" s="32">
        <v>3</v>
      </c>
      <c r="E13" s="28" t="s">
        <v>448</v>
      </c>
      <c r="F13" s="28" t="s">
        <v>364</v>
      </c>
      <c r="G13" s="28" t="s">
        <v>359</v>
      </c>
      <c r="H13" s="28"/>
      <c r="I13">
        <f>D13</f>
        <v>3</v>
      </c>
      <c r="J13" s="33" t="str">
        <f>VLOOKUP(VALUE(CONCATENATE(LEFT(F13,1),",",RIGHT(F13))),'KQ-hoctap'!$T$2:$X$10,4,1)</f>
        <v>2.0</v>
      </c>
      <c r="K13" s="36">
        <f>IF(ISBLANK(J13),0,VALUE(CONCATENATE(LEFT(J13,1),",",RIGHT(J13,1))))*I13</f>
        <v>6</v>
      </c>
      <c r="P13" t="e">
        <f>#REF!</f>
        <v>#REF!</v>
      </c>
      <c r="Q13" t="e">
        <f>VALUE(CONCATENATE(LEFT(J13,1),",",RIGHT(J13,1)))*#REF!</f>
        <v>#REF!</v>
      </c>
    </row>
    <row r="14" spans="1:18" x14ac:dyDescent="0.25">
      <c r="A14" s="29" t="s">
        <v>456</v>
      </c>
      <c r="B14" s="28" t="s">
        <v>95</v>
      </c>
      <c r="C14" s="28" t="s">
        <v>96</v>
      </c>
      <c r="D14" s="32">
        <v>0</v>
      </c>
      <c r="E14" s="28" t="s">
        <v>449</v>
      </c>
      <c r="F14" s="28" t="s">
        <v>381</v>
      </c>
      <c r="G14" s="28" t="s">
        <v>357</v>
      </c>
      <c r="H14" s="28"/>
      <c r="J14" s="33"/>
      <c r="K14" s="36"/>
    </row>
    <row r="15" spans="1:18" x14ac:dyDescent="0.25">
      <c r="A15" s="29" t="s">
        <v>456</v>
      </c>
      <c r="B15" s="28" t="s">
        <v>116</v>
      </c>
      <c r="C15" s="28" t="s">
        <v>378</v>
      </c>
      <c r="D15" s="32">
        <v>0</v>
      </c>
      <c r="E15" s="28" t="s">
        <v>454</v>
      </c>
      <c r="F15" s="28" t="s">
        <v>379</v>
      </c>
      <c r="G15" s="28" t="s">
        <v>380</v>
      </c>
      <c r="H15" s="28"/>
      <c r="J15" s="33"/>
      <c r="K15" s="36"/>
    </row>
    <row r="16" spans="1:18" x14ac:dyDescent="0.25">
      <c r="A16" s="29" t="s">
        <v>456</v>
      </c>
      <c r="B16" s="28" t="s">
        <v>88</v>
      </c>
      <c r="C16" s="28" t="s">
        <v>1</v>
      </c>
      <c r="D16" s="32">
        <v>4</v>
      </c>
      <c r="E16" s="28" t="s">
        <v>449</v>
      </c>
      <c r="F16" s="28" t="s">
        <v>388</v>
      </c>
      <c r="G16" s="28" t="s">
        <v>361</v>
      </c>
      <c r="H16" s="28" t="s">
        <v>380</v>
      </c>
      <c r="J16" s="33"/>
      <c r="K16" s="36">
        <f>IF(ISBLANK(J16),0,VALUE(CONCATENATE(LEFT(J16,1),",",RIGHT(J16,1))))*I16</f>
        <v>0</v>
      </c>
    </row>
    <row r="17" spans="1:17" x14ac:dyDescent="0.25">
      <c r="A17" s="29" t="s">
        <v>456</v>
      </c>
      <c r="B17" s="28" t="s">
        <v>89</v>
      </c>
      <c r="C17" s="28" t="s">
        <v>385</v>
      </c>
      <c r="D17" s="32">
        <v>3</v>
      </c>
      <c r="E17" s="28" t="s">
        <v>449</v>
      </c>
      <c r="F17" s="28" t="s">
        <v>386</v>
      </c>
      <c r="G17" s="28" t="s">
        <v>384</v>
      </c>
      <c r="H17" s="28"/>
      <c r="I17">
        <f>D17</f>
        <v>3</v>
      </c>
      <c r="J17" s="33" t="str">
        <f>VLOOKUP(VALUE(CONCATENATE(LEFT(F17,1),",",RIGHT(F17))),'KQ-hoctap'!$T$2:$X$10,4,1)</f>
        <v>1.0</v>
      </c>
      <c r="K17" s="36">
        <f>IF(ISBLANK(J17),0,VALUE(CONCATENATE(LEFT(J17,1),",",RIGHT(J17,1))))*I17</f>
        <v>3</v>
      </c>
      <c r="P17" t="e">
        <f>#REF!</f>
        <v>#REF!</v>
      </c>
      <c r="Q17" t="e">
        <f>VALUE(CONCATENATE(LEFT(J17,1),",",RIGHT(J17,1)))*#REF!</f>
        <v>#REF!</v>
      </c>
    </row>
    <row r="18" spans="1:17" x14ac:dyDescent="0.25">
      <c r="A18" s="29" t="s">
        <v>456</v>
      </c>
      <c r="B18" s="28" t="s">
        <v>376</v>
      </c>
      <c r="C18" s="28" t="s">
        <v>377</v>
      </c>
      <c r="D18" s="32">
        <v>0</v>
      </c>
      <c r="E18" s="28" t="s">
        <v>450</v>
      </c>
      <c r="F18" s="28" t="s">
        <v>364</v>
      </c>
      <c r="G18" s="28" t="s">
        <v>359</v>
      </c>
      <c r="H18" s="28"/>
      <c r="J18" s="33"/>
      <c r="K18" s="36"/>
    </row>
    <row r="19" spans="1:17" x14ac:dyDescent="0.25">
      <c r="A19" s="29" t="s">
        <v>456</v>
      </c>
      <c r="B19" s="28" t="s">
        <v>94</v>
      </c>
      <c r="C19" s="28" t="s">
        <v>389</v>
      </c>
      <c r="D19" s="32">
        <v>1</v>
      </c>
      <c r="E19" s="28" t="s">
        <v>455</v>
      </c>
      <c r="F19" s="28" t="s">
        <v>390</v>
      </c>
      <c r="G19" s="28" t="s">
        <v>372</v>
      </c>
      <c r="H19" s="28"/>
      <c r="I19">
        <f>D19</f>
        <v>1</v>
      </c>
      <c r="J19" s="33" t="str">
        <f>VLOOKUP(VALUE(CONCATENATE(LEFT(F19,1),",",RIGHT(F19))),'KQ-hoctap'!$T$2:$X$10,4,1)</f>
        <v>4.0</v>
      </c>
      <c r="K19" s="36">
        <f>IF(ISBLANK(J19),0,VALUE(CONCATENATE(LEFT(J19,1),",",RIGHT(J19,1))))*I19</f>
        <v>4</v>
      </c>
      <c r="P19" t="e">
        <f>#REF!</f>
        <v>#REF!</v>
      </c>
      <c r="Q19" t="e">
        <f>VALUE(CONCATENATE(LEFT(J19,1),",",RIGHT(J19,1)))*#REF!</f>
        <v>#REF!</v>
      </c>
    </row>
    <row r="20" spans="1:17" x14ac:dyDescent="0.25">
      <c r="A20" s="29" t="s">
        <v>465</v>
      </c>
      <c r="B20" s="28" t="s">
        <v>466</v>
      </c>
      <c r="C20" s="28" t="s">
        <v>392</v>
      </c>
      <c r="D20" s="32"/>
      <c r="E20" s="28"/>
      <c r="F20" s="28"/>
      <c r="G20" s="28"/>
      <c r="H20" s="28"/>
      <c r="J20" s="33"/>
      <c r="K20" s="36"/>
      <c r="L20" s="18">
        <f>SUM(K12:K19)/SUM(I12:I19)</f>
        <v>1.7272727272727273</v>
      </c>
      <c r="M20" s="18"/>
      <c r="N20" s="18"/>
    </row>
    <row r="21" spans="1:17" x14ac:dyDescent="0.25">
      <c r="A21" s="29" t="s">
        <v>459</v>
      </c>
      <c r="B21" s="28" t="s">
        <v>88</v>
      </c>
      <c r="C21" s="28" t="s">
        <v>1</v>
      </c>
      <c r="D21" s="32">
        <v>4</v>
      </c>
      <c r="E21" s="28" t="s">
        <v>457</v>
      </c>
      <c r="F21" s="28" t="s">
        <v>402</v>
      </c>
      <c r="G21" s="28" t="s">
        <v>361</v>
      </c>
      <c r="H21" s="28" t="s">
        <v>380</v>
      </c>
      <c r="J21" s="33"/>
      <c r="K21" s="36"/>
    </row>
    <row r="22" spans="1:17" x14ac:dyDescent="0.25">
      <c r="A22" s="29" t="s">
        <v>459</v>
      </c>
      <c r="B22" s="28" t="s">
        <v>130</v>
      </c>
      <c r="C22" s="28" t="s">
        <v>399</v>
      </c>
      <c r="D22" s="32">
        <v>4</v>
      </c>
      <c r="E22" s="28" t="s">
        <v>458</v>
      </c>
      <c r="F22" s="28" t="s">
        <v>401</v>
      </c>
      <c r="G22" s="28" t="s">
        <v>384</v>
      </c>
      <c r="H22" s="28"/>
      <c r="I22">
        <f>D22</f>
        <v>4</v>
      </c>
      <c r="J22" s="33" t="str">
        <f>VLOOKUP(VALUE(CONCATENATE(LEFT(F22,1),",",RIGHT(F22))),'KQ-hoctap'!$T$2:$X$10,4,1)</f>
        <v>1.0</v>
      </c>
      <c r="K22" s="36">
        <f>IF(ISBLANK(J22),0,VALUE(CONCATENATE(LEFT(J22,1),",",RIGHT(J22,1))))*I22</f>
        <v>4</v>
      </c>
      <c r="P22" t="e">
        <f>#REF!</f>
        <v>#REF!</v>
      </c>
      <c r="Q22" t="e">
        <f>VALUE(CONCATENATE(LEFT(J22,1),",",RIGHT(J22,1)))*#REF!</f>
        <v>#REF!</v>
      </c>
    </row>
    <row r="23" spans="1:17" x14ac:dyDescent="0.25">
      <c r="A23" s="29" t="s">
        <v>459</v>
      </c>
      <c r="B23" s="28" t="s">
        <v>102</v>
      </c>
      <c r="C23" s="28" t="s">
        <v>19</v>
      </c>
      <c r="D23" s="32">
        <v>3</v>
      </c>
      <c r="E23" s="28" t="s">
        <v>457</v>
      </c>
      <c r="F23" s="28" t="s">
        <v>403</v>
      </c>
      <c r="G23" s="28" t="s">
        <v>404</v>
      </c>
      <c r="H23" s="28"/>
      <c r="I23">
        <f>D23</f>
        <v>3</v>
      </c>
      <c r="J23" s="33" t="str">
        <f>VLOOKUP(VALUE(CONCATENATE(LEFT(F23,1),",",RIGHT(F23))),'KQ-hoctap'!$T$2:$X$10,4,1)</f>
        <v>2.5</v>
      </c>
      <c r="K23" s="36">
        <f>IF(ISBLANK(J23),0,VALUE(CONCATENATE(LEFT(J23,1),",",RIGHT(J23,1))))*I23</f>
        <v>7.5</v>
      </c>
      <c r="P23" t="e">
        <f>#REF!</f>
        <v>#REF!</v>
      </c>
      <c r="Q23" t="e">
        <f>VALUE(CONCATENATE(LEFT(J23,1),",",RIGHT(J23,1)))*#REF!</f>
        <v>#REF!</v>
      </c>
    </row>
    <row r="24" spans="1:17" x14ac:dyDescent="0.25">
      <c r="A24" s="29" t="s">
        <v>467</v>
      </c>
      <c r="B24" s="28" t="s">
        <v>440</v>
      </c>
      <c r="C24" s="28" t="s">
        <v>405</v>
      </c>
      <c r="D24" s="32"/>
      <c r="E24" s="28"/>
      <c r="F24" s="28"/>
      <c r="G24" s="28"/>
      <c r="H24" s="28"/>
      <c r="J24" s="33"/>
      <c r="K24" s="36"/>
      <c r="L24" s="18">
        <f>SUM(I21:I23)/SUM(K21:K23)</f>
        <v>0.60869565217391308</v>
      </c>
      <c r="M24" s="18"/>
      <c r="N24" s="18"/>
    </row>
    <row r="25" spans="1:17" x14ac:dyDescent="0.25">
      <c r="A25" s="29" t="s">
        <v>460</v>
      </c>
      <c r="B25" s="28" t="s">
        <v>107</v>
      </c>
      <c r="C25" s="28" t="s">
        <v>394</v>
      </c>
      <c r="D25" s="32">
        <v>4</v>
      </c>
      <c r="E25" s="28" t="s">
        <v>449</v>
      </c>
      <c r="F25" s="28" t="s">
        <v>439</v>
      </c>
      <c r="G25" s="28" t="s">
        <v>361</v>
      </c>
      <c r="H25" s="28" t="s">
        <v>380</v>
      </c>
      <c r="I25">
        <f>D25</f>
        <v>4</v>
      </c>
      <c r="J25" s="33"/>
      <c r="K25" s="36">
        <f>IF(ISBLANK(J25),0,VALUE(CONCATENATE(LEFT(J25,1),",",RIGHT(J25,1))))*I25</f>
        <v>0</v>
      </c>
    </row>
    <row r="26" spans="1:17" x14ac:dyDescent="0.25">
      <c r="A26" s="29" t="s">
        <v>460</v>
      </c>
      <c r="B26" s="28" t="s">
        <v>103</v>
      </c>
      <c r="C26" s="28" t="s">
        <v>395</v>
      </c>
      <c r="D26" s="32">
        <v>4</v>
      </c>
      <c r="E26" s="28" t="s">
        <v>449</v>
      </c>
      <c r="F26" s="28" t="s">
        <v>368</v>
      </c>
      <c r="G26" s="28" t="s">
        <v>359</v>
      </c>
      <c r="H26" s="28"/>
      <c r="I26">
        <f>D26</f>
        <v>4</v>
      </c>
      <c r="J26" s="33" t="str">
        <f>VLOOKUP(VALUE(CONCATENATE(LEFT(F26,1),",",RIGHT(F26))),'KQ-hoctap'!$T$2:$X$10,4,1)</f>
        <v>2.0</v>
      </c>
      <c r="K26" s="36">
        <f>IF(ISBLANK(J26),0,VALUE(CONCATENATE(LEFT(J26,1),",",RIGHT(J26,1))))*I26</f>
        <v>8</v>
      </c>
      <c r="P26" t="e">
        <f>#REF!</f>
        <v>#REF!</v>
      </c>
      <c r="Q26" t="e">
        <f>VALUE(CONCATENATE(LEFT(J26,1),",",RIGHT(J26,1)))*#REF!</f>
        <v>#REF!</v>
      </c>
    </row>
    <row r="27" spans="1:17" x14ac:dyDescent="0.25">
      <c r="A27" s="29" t="s">
        <v>460</v>
      </c>
      <c r="B27" s="28" t="s">
        <v>106</v>
      </c>
      <c r="C27" s="28" t="s">
        <v>396</v>
      </c>
      <c r="D27" s="32">
        <v>3</v>
      </c>
      <c r="E27" s="28" t="s">
        <v>448</v>
      </c>
      <c r="F27" s="28" t="s">
        <v>383</v>
      </c>
      <c r="G27" s="28" t="s">
        <v>384</v>
      </c>
      <c r="H27" s="28"/>
      <c r="I27">
        <f>D27</f>
        <v>3</v>
      </c>
      <c r="J27" s="33" t="str">
        <f>VLOOKUP(VALUE(CONCATENATE(LEFT(F27,1),",",RIGHT(F27))),'KQ-hoctap'!$T$2:$X$10,4,1)</f>
        <v>1.0</v>
      </c>
      <c r="K27" s="36">
        <f>IF(ISBLANK(J27),0,VALUE(CONCATENATE(LEFT(J27,1),",",RIGHT(J27,1))))*I27</f>
        <v>3</v>
      </c>
      <c r="P27" t="e">
        <f>#REF!</f>
        <v>#REF!</v>
      </c>
      <c r="Q27" t="e">
        <f>VALUE(CONCATENATE(LEFT(J27,1),",",RIGHT(J27,1)))*#REF!</f>
        <v>#REF!</v>
      </c>
    </row>
    <row r="28" spans="1:17" x14ac:dyDescent="0.25">
      <c r="A28" s="29" t="s">
        <v>460</v>
      </c>
      <c r="B28" s="28" t="s">
        <v>113</v>
      </c>
      <c r="C28" s="28" t="s">
        <v>114</v>
      </c>
      <c r="D28" s="32">
        <v>0</v>
      </c>
      <c r="E28" s="28" t="s">
        <v>449</v>
      </c>
      <c r="F28" s="28" t="s">
        <v>406</v>
      </c>
      <c r="G28" s="28" t="s">
        <v>359</v>
      </c>
      <c r="H28" s="28"/>
      <c r="J28" s="33"/>
      <c r="K28" s="36"/>
    </row>
    <row r="29" spans="1:17" x14ac:dyDescent="0.25">
      <c r="A29" s="29" t="s">
        <v>460</v>
      </c>
      <c r="B29" s="28" t="s">
        <v>43</v>
      </c>
      <c r="C29" s="28" t="s">
        <v>9</v>
      </c>
      <c r="D29" s="32">
        <v>4</v>
      </c>
      <c r="E29" s="28" t="s">
        <v>448</v>
      </c>
      <c r="F29" s="28" t="s">
        <v>406</v>
      </c>
      <c r="G29" s="28" t="s">
        <v>359</v>
      </c>
      <c r="H29" s="28"/>
      <c r="I29">
        <f>D29</f>
        <v>4</v>
      </c>
      <c r="J29" s="33" t="str">
        <f>VLOOKUP(VALUE(CONCATENATE(LEFT(F29,1),",",RIGHT(F29))),'KQ-hoctap'!$T$2:$X$10,4,1)</f>
        <v>2.0</v>
      </c>
      <c r="K29" s="36">
        <f>IF(ISBLANK(J29),0,VALUE(CONCATENATE(LEFT(J29,1),",",RIGHT(J29,1))))*I29</f>
        <v>8</v>
      </c>
      <c r="P29" t="e">
        <f>#REF!</f>
        <v>#REF!</v>
      </c>
      <c r="Q29" t="e">
        <f>VALUE(CONCATENATE(LEFT(J29,1),",",RIGHT(J29,1)))*#REF!</f>
        <v>#REF!</v>
      </c>
    </row>
    <row r="30" spans="1:17" x14ac:dyDescent="0.25">
      <c r="A30" s="29" t="s">
        <v>468</v>
      </c>
      <c r="B30" s="28" t="s">
        <v>466</v>
      </c>
      <c r="C30" s="28" t="s">
        <v>405</v>
      </c>
      <c r="D30" s="32"/>
      <c r="E30" s="28"/>
      <c r="F30" s="28"/>
      <c r="G30" s="28"/>
      <c r="H30" s="28"/>
      <c r="J30" s="33"/>
      <c r="K30" s="36"/>
      <c r="L30" s="18">
        <f>SUM(K25:K29)/SUM(I25:I29)</f>
        <v>1.2666666666666666</v>
      </c>
      <c r="M30" s="18"/>
      <c r="N30" s="18"/>
    </row>
    <row r="31" spans="1:17" x14ac:dyDescent="0.25">
      <c r="A31" s="29" t="s">
        <v>461</v>
      </c>
      <c r="B31" s="16" t="s">
        <v>131</v>
      </c>
      <c r="C31" s="16" t="s">
        <v>132</v>
      </c>
      <c r="D31" s="17">
        <v>0</v>
      </c>
      <c r="J31" s="33"/>
      <c r="K31" s="36"/>
    </row>
    <row r="32" spans="1:17" x14ac:dyDescent="0.25">
      <c r="A32" s="29" t="s">
        <v>461</v>
      </c>
      <c r="B32" s="16" t="s">
        <v>124</v>
      </c>
      <c r="C32" s="16" t="s">
        <v>125</v>
      </c>
      <c r="D32" s="17">
        <v>3</v>
      </c>
      <c r="F32" s="37" t="s">
        <v>381</v>
      </c>
      <c r="I32">
        <f>D32</f>
        <v>3</v>
      </c>
      <c r="J32" s="33" t="str">
        <f>VLOOKUP(VALUE(CONCATENATE(LEFT(F32,1),",",RIGHT(F32))),'KQ-hoctap'!$T$2:$X$10,4,1)</f>
        <v>1.5</v>
      </c>
      <c r="K32" s="36">
        <f>IF(ISBLANK(J32),0,VALUE(CONCATENATE(LEFT(J32,1),",",RIGHT(J32,1))))*I32</f>
        <v>4.5</v>
      </c>
      <c r="P32" t="e">
        <f>#REF!</f>
        <v>#REF!</v>
      </c>
    </row>
    <row r="33" spans="1:17" x14ac:dyDescent="0.25">
      <c r="A33" s="29" t="s">
        <v>461</v>
      </c>
      <c r="B33" s="16" t="s">
        <v>127</v>
      </c>
      <c r="C33" s="16" t="s">
        <v>442</v>
      </c>
      <c r="D33" s="17">
        <v>3</v>
      </c>
      <c r="F33" s="37" t="s">
        <v>381</v>
      </c>
      <c r="I33">
        <f>D33</f>
        <v>3</v>
      </c>
      <c r="J33" s="33" t="str">
        <f>VLOOKUP(VALUE(CONCATENATE(LEFT(F33,1),",",RIGHT(F33))),'KQ-hoctap'!$T$2:$X$10,4,1)</f>
        <v>1.5</v>
      </c>
      <c r="K33" s="36">
        <f>IF(ISBLANK(J33),0,VALUE(CONCATENATE(LEFT(J33,1),",",RIGHT(J33,1))))*I33</f>
        <v>4.5</v>
      </c>
      <c r="P33" t="e">
        <f>#REF!</f>
        <v>#REF!</v>
      </c>
    </row>
    <row r="34" spans="1:17" x14ac:dyDescent="0.25">
      <c r="A34" s="29" t="s">
        <v>461</v>
      </c>
      <c r="B34" s="16" t="s">
        <v>88</v>
      </c>
      <c r="C34" s="16" t="s">
        <v>1</v>
      </c>
      <c r="D34" s="17">
        <v>4</v>
      </c>
      <c r="F34" s="37" t="s">
        <v>473</v>
      </c>
      <c r="I34">
        <f>D34</f>
        <v>4</v>
      </c>
      <c r="J34" s="33" t="str">
        <f>VLOOKUP(VALUE(CONCATENATE(LEFT(F34,1),",",RIGHT(F34))),'KQ-hoctap'!$T$2:$X$10,4,1)</f>
        <v>2.0</v>
      </c>
      <c r="K34" s="36">
        <f>IF(ISBLANK(J34),0,VALUE(CONCATENATE(LEFT(J34,1),",",RIGHT(J34,1))))*I34</f>
        <v>8</v>
      </c>
      <c r="P34" t="e">
        <f>#REF!</f>
        <v>#REF!</v>
      </c>
      <c r="Q34" s="31"/>
    </row>
    <row r="35" spans="1:17" x14ac:dyDescent="0.25">
      <c r="A35" s="29" t="s">
        <v>461</v>
      </c>
      <c r="B35" s="16" t="s">
        <v>226</v>
      </c>
      <c r="C35" s="16" t="s">
        <v>444</v>
      </c>
      <c r="D35" s="17">
        <v>2</v>
      </c>
      <c r="F35" s="37" t="s">
        <v>474</v>
      </c>
      <c r="I35">
        <f>D35</f>
        <v>2</v>
      </c>
      <c r="J35" s="33" t="str">
        <f>VLOOKUP(VALUE(CONCATENATE(LEFT(F35,1),",",RIGHT(F35))),'KQ-hoctap'!$T$2:$X$10,4,1)</f>
        <v>2.5</v>
      </c>
      <c r="K35" s="36">
        <f>IF(ISBLANK(J35),0,VALUE(CONCATENATE(LEFT(J35,1),",",RIGHT(J35,1))))*I35</f>
        <v>5</v>
      </c>
      <c r="P35" t="e">
        <f>#REF!</f>
        <v>#REF!</v>
      </c>
    </row>
    <row r="36" spans="1:17" x14ac:dyDescent="0.25">
      <c r="A36" s="29" t="s">
        <v>461</v>
      </c>
      <c r="B36" s="16" t="s">
        <v>123</v>
      </c>
      <c r="C36" s="16" t="s">
        <v>443</v>
      </c>
      <c r="D36" s="17">
        <v>2</v>
      </c>
      <c r="F36" s="37" t="s">
        <v>474</v>
      </c>
      <c r="I36">
        <f>D36</f>
        <v>2</v>
      </c>
      <c r="J36" s="33" t="str">
        <f>VLOOKUP(VALUE(CONCATENATE(LEFT(F36,1),",",RIGHT(F36))),'KQ-hoctap'!$T$2:$X$10,4,1)</f>
        <v>2.5</v>
      </c>
      <c r="K36" s="36">
        <f>IF(ISBLANK(J36),0,VALUE(CONCATENATE(LEFT(J36,1),",",RIGHT(J36,1))))*I36</f>
        <v>5</v>
      </c>
      <c r="P36" t="e">
        <f>#REF!</f>
        <v>#REF!</v>
      </c>
    </row>
    <row r="37" spans="1:17" x14ac:dyDescent="0.25">
      <c r="A37" s="29" t="s">
        <v>472</v>
      </c>
    </row>
  </sheetData>
  <autoFilter ref="A2:Q30"/>
  <phoneticPr fontId="2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 hoach</vt:lpstr>
      <vt:lpstr>CTDT</vt:lpstr>
      <vt:lpstr>KQ-hoctap</vt:lpstr>
      <vt:lpstr>Sheet1</vt:lpstr>
    </vt:vector>
  </TitlesOfParts>
  <Company>P.DT-Tr.DHBK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</dc:creator>
  <cp:lastModifiedBy>HuyPT</cp:lastModifiedBy>
  <dcterms:created xsi:type="dcterms:W3CDTF">2024-07-11T02:24:16Z</dcterms:created>
  <dcterms:modified xsi:type="dcterms:W3CDTF">2026-05-22T04:31:48Z</dcterms:modified>
</cp:coreProperties>
</file>